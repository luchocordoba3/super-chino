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usar" sheetId="1" state="visible" r:id="rId1"/>
    <sheet name="Prospectos" sheetId="2" state="visible" r:id="rId2"/>
    <sheet name="Visitas" sheetId="3" state="visible" r:id="rId3"/>
    <sheet name="Administraciones" sheetId="4" state="visible" r:id="rId4"/>
    <sheet name="Semana" sheetId="5" state="visible" r:id="rId5"/>
    <sheet name="Listas" sheetId="6" state="visible" r:id="rId6"/>
  </sheets>
  <definedNames>
    <definedName name="_xlnm._FilterDatabase" localSheetId="1" hidden="1">'Prospectos'!$A$1:$P$401</definedName>
    <definedName name="_xlnm._FilterDatabase" localSheetId="2" hidden="1">'Visitas'!$A$1:$H$401</definedName>
    <definedName name="_xlnm._FilterDatabase" localSheetId="3" hidden="1">'Administraciones'!$A$1:$L$401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&quot;$&quot; #,##0;-&quot;$&quot; #,##0;&quot;-&quot;"/>
    <numFmt numFmtId="166" formatCode="yyyy-mm-dd"/>
    <numFmt numFmtId="167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7288E"/>
      <sz val="16"/>
    </font>
    <font>
      <name val="Arial"/>
      <color rgb="00585D6C"/>
      <sz val="10"/>
    </font>
    <font>
      <name val="Arial"/>
      <b val="1"/>
      <color rgb="00FFFFFF"/>
      <sz val="10"/>
    </font>
    <font>
      <name val="Arial"/>
      <b val="1"/>
      <color rgb="0012141A"/>
      <sz val="10"/>
    </font>
    <font>
      <name val="Arial"/>
      <color rgb="0012141A"/>
      <sz val="10"/>
    </font>
    <font>
      <name val="Arial"/>
      <i val="1"/>
      <color rgb="00585D6C"/>
      <sz val="10"/>
    </font>
    <font>
      <name val="Arial"/>
      <b val="1"/>
      <sz val="10"/>
    </font>
    <font>
      <name val="Arial"/>
      <b val="1"/>
      <color rgb="0017288E"/>
      <sz val="12"/>
    </font>
  </fonts>
  <fills count="5">
    <fill>
      <patternFill/>
    </fill>
    <fill>
      <patternFill patternType="gray125"/>
    </fill>
    <fill>
      <patternFill patternType="solid">
        <fgColor rgb="0017288E"/>
      </patternFill>
    </fill>
    <fill>
      <patternFill patternType="solid">
        <fgColor rgb="00FFF6D6"/>
      </patternFill>
    </fill>
    <fill>
      <patternFill patternType="solid">
        <fgColor rgb="00EEF0F6"/>
      </patternFill>
    </fill>
  </fills>
  <borders count="3">
    <border>
      <left/>
      <right/>
      <top/>
      <bottom/>
      <diagonal/>
    </border>
    <border>
      <bottom style="thin">
        <color rgb="00D9DCE4"/>
      </bottom>
    </border>
    <border>
      <top style="medium">
        <color rgb="0012141A"/>
      </top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3" borderId="0" pivotButton="0" quotePrefix="0" xfId="0"/>
    <xf numFmtId="0" fontId="5" fillId="3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164" fontId="6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165" fontId="6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165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164" fontId="5" fillId="3" borderId="1" pivotButton="0" quotePrefix="0" xfId="0"/>
    <xf numFmtId="164" fontId="5" fillId="4" borderId="1" pivotButton="0" quotePrefix="0" xfId="0"/>
    <xf numFmtId="0" fontId="5" fillId="4" borderId="1" pivotButton="0" quotePrefix="0" xfId="0"/>
    <xf numFmtId="165" fontId="5" fillId="4" borderId="1" pivotButton="0" quotePrefix="0" xfId="0"/>
    <xf numFmtId="167" fontId="5" fillId="4" borderId="1" pivotButton="0" quotePrefix="0" xfId="0"/>
    <xf numFmtId="0" fontId="7" fillId="0" borderId="2" pivotButton="0" quotePrefix="0" xfId="0"/>
    <xf numFmtId="165" fontId="7" fillId="0" borderId="2" pivotButton="0" quotePrefix="0" xfId="0"/>
    <xf numFmtId="167" fontId="7" fillId="0" borderId="2" pivotButton="0" quotePrefix="0" xfId="0"/>
    <xf numFmtId="0" fontId="8" fillId="0" borderId="0" pivotButton="0" quotePrefix="0" xfId="0"/>
    <xf numFmtId="0" fontId="5" fillId="0" borderId="0" pivotButton="0" quotePrefix="0" xfId="0"/>
    <xf numFmtId="0" fontId="7" fillId="4" borderId="0" pivotButton="0" quotePrefix="0" xfId="0"/>
  </cellXfs>
  <cellStyles count="1">
    <cellStyle name="Normal" xfId="0" builtinId="0" hidden="0"/>
  </cellStyles>
  <dxfs count="5">
    <dxf>
      <font>
        <name val="Arial"/>
        <b val="1"/>
        <color rgb="00B3261E"/>
      </font>
      <fill>
        <patternFill patternType="solid">
          <fgColor rgb="00F8D7D3"/>
        </patternFill>
      </fill>
    </dxf>
    <dxf>
      <fill>
        <patternFill patternType="solid">
          <fgColor rgb="00DCEDDA"/>
        </patternFill>
      </fill>
    </dxf>
    <dxf>
      <fill>
        <patternFill patternType="solid">
          <fgColor rgb="00B9E0BE"/>
        </patternFill>
      </fill>
    </dxf>
    <dxf>
      <fill>
        <patternFill patternType="solid">
          <fgColor rgb="00E1E7F8"/>
        </patternFill>
      </fill>
    </dxf>
    <dxf>
      <fill>
        <patternFill patternType="solid">
          <fgColor rgb="00EEEE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Doble Hoja</author>
  </authors>
  <commentList>
    <comment ref="L1" authorId="0" shapeId="0">
      <text>
        <t>Fecha en la que tenés que volver a contactarlo. La columna Aviso se pone en rojo cuando llega.</t>
      </text>
    </comment>
    <comment ref="M1" authorId="0" shapeId="0">
      <text>
        <t>Lo que calculás que compraría por mes. Sirve para priorizar.</t>
      </text>
    </comment>
  </commentList>
</comments>
</file>

<file path=xl/comments/comment2.xml><?xml version="1.0" encoding="utf-8"?>
<comments xmlns="http://schemas.openxmlformats.org/spreadsheetml/2006/main">
  <authors>
    <author>Doble Hoja</author>
  </authors>
  <commentList>
    <comment ref="G1" authorId="0" shapeId="0">
      <text>
        <t>Solo si hubo pedido (Resultado = Primer pedido o Pedido repetido). Total del pedido en pesos.</t>
      </text>
    </comment>
  </commentList>
</comments>
</file>

<file path=xl/comments/comment3.xml><?xml version="1.0" encoding="utf-8"?>
<comments xmlns="http://schemas.openxmlformats.org/spreadsheetml/2006/main">
  <authors>
    <author>Doble Hoja</author>
  </authors>
  <commentList>
    <comment ref="E1" authorId="0" shapeId="0">
      <text>
        <t>Cuántos edificios de esta administración quedan en tus zonas de reparto.</t>
      </text>
    </comment>
  </commentList>
</comments>
</file>

<file path=xl/comments/comment4.xml><?xml version="1.0" encoding="utf-8"?>
<comments xmlns="http://schemas.openxmlformats.org/spreadsheetml/2006/main">
  <authors>
    <author>Doble Hoja</author>
  </authors>
  <commentList>
    <comment ref="I4" authorId="0" shapeId="0">
      <text>
        <t>Primeros pedidos ÷ contactos de la semana.</t>
      </text>
    </comment>
    <comment ref="A5" authorId="0" shapeId="0">
      <text>
        <t>Lunes de la primera semana. Las siguientes se calculan solas.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>
      <c r="B2" s="1" t="inlineStr">
        <is>
          <t>Doble Hoja · Prospección</t>
        </is>
      </c>
    </row>
    <row r="3">
      <c r="B3" s="2" t="inlineStr">
        <is>
          <t>Planilla para las visitas puerta a puerta y el seguimiento de clientes. Se puede subir a Google Sheets (Archivo → Importar).</t>
        </is>
      </c>
    </row>
    <row r="5">
      <c r="B5" s="3" t="inlineStr">
        <is>
          <t>Hoja</t>
        </is>
      </c>
      <c r="C5" s="4" t="inlineStr">
        <is>
          <t>Para qué sirve</t>
        </is>
      </c>
    </row>
    <row r="6">
      <c r="B6" s="5" t="inlineStr">
        <is>
          <t>Prospectos</t>
        </is>
      </c>
      <c r="C6" s="6" t="inlineStr">
        <is>
          <t>Un renglón por negocio. Cargás los datos la primera vez que lo visitás y vas actualizando el Estado y el Próximo contacto.</t>
        </is>
      </c>
    </row>
    <row r="7">
      <c r="B7" s="5" t="inlineStr">
        <is>
          <t>Visitas</t>
        </is>
      </c>
      <c r="C7" s="6" t="inlineStr">
        <is>
          <t>Un renglón por cada contacto (visita, WhatsApp o llamada) con su resultado. Si hubo pedido, cargá el monto: de acá salen las ventas.</t>
        </is>
      </c>
    </row>
    <row r="8">
      <c r="B8" s="5" t="inlineStr">
        <is>
          <t>Administraciones</t>
        </is>
      </c>
      <c r="C8" s="6" t="inlineStr">
        <is>
          <t>Las administraciones de consorcio: cuántos edificios manejan en tus zonas y si ya les dejaste la carpeta.</t>
        </is>
      </c>
    </row>
    <row r="9">
      <c r="B9" s="5" t="inlineStr">
        <is>
          <t>Semana</t>
        </is>
      </c>
      <c r="C9" s="6" t="inlineStr">
        <is>
          <t>Se calcula sola con lo que cargás en Visitas y Prospectos. Solo cambiá la fecha de la primera semana si querés.</t>
        </is>
      </c>
    </row>
    <row r="10">
      <c r="B10" s="5" t="inlineStr">
        <is>
          <t>Listas</t>
        </is>
      </c>
      <c r="C10" s="6" t="inlineStr">
        <is>
          <t>Las opciones de los desplegables. Si agregás un rubro o una zona, hacelo al final de su columna.</t>
        </is>
      </c>
    </row>
    <row r="11">
      <c r="B11" s="5" t="inlineStr"/>
      <c r="C11" s="6" t="inlineStr"/>
    </row>
    <row r="12">
      <c r="B12" s="7" t="inlineStr">
        <is>
          <t>Colores</t>
        </is>
      </c>
      <c r="C12" s="8" t="inlineStr">
        <is>
          <t>Cargá los datos desde la fila 2 de Prospectos, Visitas y Administraciones. Gris azulado: se calcula solo, no lo toques. Amarillo: la fila de ejemplo (borrala) y la fecha de inicio en Semana.</t>
        </is>
      </c>
    </row>
    <row r="13">
      <c r="B13" s="5" t="inlineStr">
        <is>
          <t>Atrasados</t>
        </is>
      </c>
      <c r="C13" s="6" t="inlineStr">
        <is>
          <t>En Prospectos, la columna Aviso marca en rojo a quién tenías que contactar hoy o antes.</t>
        </is>
      </c>
    </row>
    <row r="14">
      <c r="B14" s="5" t="inlineStr">
        <is>
          <t>Ejemplos</t>
        </is>
      </c>
      <c r="C14" s="6" t="inlineStr">
        <is>
          <t>La primera fila de Prospectos, Visitas y Administraciones es un ejemplo: borrala cuando cargues el primer dato real.</t>
        </is>
      </c>
    </row>
    <row r="15">
      <c r="B15" s="5" t="inlineStr">
        <is>
          <t>Rutina</t>
        </is>
      </c>
      <c r="C15" s="6" t="inlineStr">
        <is>
          <t>Todos los días: cargá las visitas. Viernes: mirá la hoja Semana y filtrá Prospectos por Aviso para armar la semana siguiente.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2" customWidth="1" min="4" max="4"/>
    <col width="28" customWidth="1" min="5" max="5"/>
    <col width="18" customWidth="1" min="6" max="6"/>
    <col width="15" customWidth="1" min="7" max="7"/>
    <col width="16" customWidth="1" min="8" max="8"/>
    <col width="15" customWidth="1" min="9" max="9"/>
    <col width="12" customWidth="1" min="10" max="10"/>
    <col width="26" customWidth="1" min="11" max="11"/>
    <col width="13" customWidth="1" min="12" max="12"/>
    <col width="13" customWidth="1" min="13" max="13"/>
    <col width="12" customWidth="1" min="14" max="14"/>
    <col width="12" customWidth="1" min="15" max="15"/>
    <col width="34" customWidth="1" min="16" max="16"/>
  </cols>
  <sheetData>
    <row r="1" ht="30" customHeight="1">
      <c r="A1" s="9" t="inlineStr">
        <is>
          <t>Fecha alta</t>
        </is>
      </c>
      <c r="B1" s="9" t="inlineStr">
        <is>
          <t>Negocio</t>
        </is>
      </c>
      <c r="C1" s="9" t="inlineStr">
        <is>
          <t>Rubro</t>
        </is>
      </c>
      <c r="D1" s="9" t="inlineStr">
        <is>
          <t>Zona</t>
        </is>
      </c>
      <c r="E1" s="9" t="inlineStr">
        <is>
          <t>Dirección</t>
        </is>
      </c>
      <c r="F1" s="9" t="inlineStr">
        <is>
          <t>Contacto</t>
        </is>
      </c>
      <c r="G1" s="9" t="inlineStr">
        <is>
          <t>Teléfono</t>
        </is>
      </c>
      <c r="H1" s="9" t="inlineStr">
        <is>
          <t>Cómo llegó</t>
        </is>
      </c>
      <c r="I1" s="9" t="inlineStr">
        <is>
          <t>Qué le dejé</t>
        </is>
      </c>
      <c r="J1" s="9" t="inlineStr">
        <is>
          <t>Estado</t>
        </is>
      </c>
      <c r="K1" s="9" t="inlineStr">
        <is>
          <t>Próximo paso</t>
        </is>
      </c>
      <c r="L1" s="9" t="inlineStr">
        <is>
          <t>Próximo contacto</t>
        </is>
      </c>
      <c r="M1" s="9" t="inlineStr">
        <is>
          <t>Ticket estimado ($)</t>
        </is>
      </c>
      <c r="N1" s="9" t="inlineStr">
        <is>
          <t>Primer pedido</t>
        </is>
      </c>
      <c r="O1" s="9" t="inlineStr">
        <is>
          <t>Aviso</t>
        </is>
      </c>
      <c r="P1" s="9" t="inlineStr">
        <is>
          <t>Notas</t>
        </is>
      </c>
    </row>
    <row r="2">
      <c r="A2" s="10" t="n">
        <v>46307</v>
      </c>
      <c r="B2" s="11" t="inlineStr">
        <is>
          <t>Rotisería de ejemplo (borrar)</t>
        </is>
      </c>
      <c r="C2" s="11" t="inlineStr">
        <is>
          <t>Gastronomía</t>
        </is>
      </c>
      <c r="D2" s="11" t="inlineStr">
        <is>
          <t>GBA Sur</t>
        </is>
      </c>
      <c r="E2" s="11" t="inlineStr">
        <is>
          <t>Av. Hipólito Yrigoyen 1234, Lanús</t>
        </is>
      </c>
      <c r="F2" s="11" t="inlineStr">
        <is>
          <t>Dueño: Carlos</t>
        </is>
      </c>
      <c r="G2" s="11" t="inlineStr">
        <is>
          <t>11 5555-0000</t>
        </is>
      </c>
      <c r="H2" s="11" t="inlineStr">
        <is>
          <t>Visita en la calle</t>
        </is>
      </c>
      <c r="I2" s="11" t="inlineStr">
        <is>
          <t>Muestra + imán</t>
        </is>
      </c>
      <c r="J2" s="11" t="inlineStr">
        <is>
          <t>Visitado</t>
        </is>
      </c>
      <c r="K2" s="11" t="inlineStr">
        <is>
          <t>Mandar link de gastronomía y volver el miércoles</t>
        </is>
      </c>
      <c r="L2" s="10" t="n">
        <v>46309</v>
      </c>
      <c r="M2" s="12" t="n">
        <v>60000</v>
      </c>
      <c r="N2" s="13" t="n"/>
      <c r="O2" s="14">
        <f>IF(AND(L2&lt;&gt;"",L2&lt;=TODAY(),J2&lt;&gt;"Sin interés"),"Contactar","")</f>
        <v/>
      </c>
      <c r="P2" s="11" t="inlineStr">
        <is>
          <t>Compra servilletas y bolsas cada semana a un mayorista de Avellaneda.</t>
        </is>
      </c>
    </row>
    <row r="3">
      <c r="A3" s="15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5" t="n"/>
      <c r="M3" s="17" t="n"/>
      <c r="N3" s="15" t="n"/>
      <c r="O3" s="14">
        <f>IF(AND(L3&lt;&gt;"",L3&lt;=TODAY(),J3&lt;&gt;"Sin interés"),"Contactar","")</f>
        <v/>
      </c>
      <c r="P3" s="16" t="n"/>
    </row>
    <row r="4">
      <c r="A4" s="15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5" t="n"/>
      <c r="M4" s="17" t="n"/>
      <c r="N4" s="15" t="n"/>
      <c r="O4" s="14">
        <f>IF(AND(L4&lt;&gt;"",L4&lt;=TODAY(),J4&lt;&gt;"Sin interés"),"Contactar","")</f>
        <v/>
      </c>
      <c r="P4" s="16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5" t="n"/>
      <c r="M5" s="17" t="n"/>
      <c r="N5" s="15" t="n"/>
      <c r="O5" s="14">
        <f>IF(AND(L5&lt;&gt;"",L5&lt;=TODAY(),J5&lt;&gt;"Sin interés"),"Contactar","")</f>
        <v/>
      </c>
      <c r="P5" s="16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5" t="n"/>
      <c r="M6" s="17" t="n"/>
      <c r="N6" s="15" t="n"/>
      <c r="O6" s="14">
        <f>IF(AND(L6&lt;&gt;"",L6&lt;=TODAY(),J6&lt;&gt;"Sin interés"),"Contactar","")</f>
        <v/>
      </c>
      <c r="P6" s="16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5" t="n"/>
      <c r="M7" s="17" t="n"/>
      <c r="N7" s="15" t="n"/>
      <c r="O7" s="14">
        <f>IF(AND(L7&lt;&gt;"",L7&lt;=TODAY(),J7&lt;&gt;"Sin interés"),"Contactar","")</f>
        <v/>
      </c>
      <c r="P7" s="16" t="n"/>
    </row>
    <row r="8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5" t="n"/>
      <c r="M8" s="17" t="n"/>
      <c r="N8" s="15" t="n"/>
      <c r="O8" s="14">
        <f>IF(AND(L8&lt;&gt;"",L8&lt;=TODAY(),J8&lt;&gt;"Sin interés"),"Contactar","")</f>
        <v/>
      </c>
      <c r="P8" s="16" t="n"/>
    </row>
    <row r="9">
      <c r="A9" s="15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5" t="n"/>
      <c r="M9" s="17" t="n"/>
      <c r="N9" s="15" t="n"/>
      <c r="O9" s="14">
        <f>IF(AND(L9&lt;&gt;"",L9&lt;=TODAY(),J9&lt;&gt;"Sin interés"),"Contactar","")</f>
        <v/>
      </c>
      <c r="P9" s="16" t="n"/>
    </row>
    <row r="10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5" t="n"/>
      <c r="M10" s="17" t="n"/>
      <c r="N10" s="15" t="n"/>
      <c r="O10" s="14">
        <f>IF(AND(L10&lt;&gt;"",L10&lt;=TODAY(),J10&lt;&gt;"Sin interés"),"Contactar","")</f>
        <v/>
      </c>
      <c r="P10" s="16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5" t="n"/>
      <c r="M11" s="17" t="n"/>
      <c r="N11" s="15" t="n"/>
      <c r="O11" s="14">
        <f>IF(AND(L11&lt;&gt;"",L11&lt;=TODAY(),J11&lt;&gt;"Sin interés"),"Contactar","")</f>
        <v/>
      </c>
      <c r="P11" s="16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5" t="n"/>
      <c r="M12" s="17" t="n"/>
      <c r="N12" s="15" t="n"/>
      <c r="O12" s="14">
        <f>IF(AND(L12&lt;&gt;"",L12&lt;=TODAY(),J12&lt;&gt;"Sin interés"),"Contactar","")</f>
        <v/>
      </c>
      <c r="P12" s="16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5" t="n"/>
      <c r="M13" s="17" t="n"/>
      <c r="N13" s="15" t="n"/>
      <c r="O13" s="14">
        <f>IF(AND(L13&lt;&gt;"",L13&lt;=TODAY(),J13&lt;&gt;"Sin interés"),"Contactar","")</f>
        <v/>
      </c>
      <c r="P13" s="16" t="n"/>
    </row>
    <row r="14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5" t="n"/>
      <c r="M14" s="17" t="n"/>
      <c r="N14" s="15" t="n"/>
      <c r="O14" s="14">
        <f>IF(AND(L14&lt;&gt;"",L14&lt;=TODAY(),J14&lt;&gt;"Sin interés"),"Contactar","")</f>
        <v/>
      </c>
      <c r="P14" s="16" t="n"/>
    </row>
    <row r="15">
      <c r="A15" s="15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5" t="n"/>
      <c r="M15" s="17" t="n"/>
      <c r="N15" s="15" t="n"/>
      <c r="O15" s="14">
        <f>IF(AND(L15&lt;&gt;"",L15&lt;=TODAY(),J15&lt;&gt;"Sin interés"),"Contactar","")</f>
        <v/>
      </c>
      <c r="P15" s="16" t="n"/>
    </row>
    <row r="16">
      <c r="A16" s="15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5" t="n"/>
      <c r="M16" s="17" t="n"/>
      <c r="N16" s="15" t="n"/>
      <c r="O16" s="14">
        <f>IF(AND(L16&lt;&gt;"",L16&lt;=TODAY(),J16&lt;&gt;"Sin interés"),"Contactar","")</f>
        <v/>
      </c>
      <c r="P16" s="16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5" t="n"/>
      <c r="M17" s="17" t="n"/>
      <c r="N17" s="15" t="n"/>
      <c r="O17" s="14">
        <f>IF(AND(L17&lt;&gt;"",L17&lt;=TODAY(),J17&lt;&gt;"Sin interés"),"Contactar","")</f>
        <v/>
      </c>
      <c r="P17" s="16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5" t="n"/>
      <c r="M18" s="17" t="n"/>
      <c r="N18" s="15" t="n"/>
      <c r="O18" s="14">
        <f>IF(AND(L18&lt;&gt;"",L18&lt;=TODAY(),J18&lt;&gt;"Sin interés"),"Contactar","")</f>
        <v/>
      </c>
      <c r="P18" s="16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5" t="n"/>
      <c r="M19" s="17" t="n"/>
      <c r="N19" s="15" t="n"/>
      <c r="O19" s="14">
        <f>IF(AND(L19&lt;&gt;"",L19&lt;=TODAY(),J19&lt;&gt;"Sin interés"),"Contactar","")</f>
        <v/>
      </c>
      <c r="P19" s="16" t="n"/>
    </row>
    <row r="20">
      <c r="A20" s="15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5" t="n"/>
      <c r="M20" s="17" t="n"/>
      <c r="N20" s="15" t="n"/>
      <c r="O20" s="14">
        <f>IF(AND(L20&lt;&gt;"",L20&lt;=TODAY(),J20&lt;&gt;"Sin interés"),"Contactar","")</f>
        <v/>
      </c>
      <c r="P20" s="16" t="n"/>
    </row>
    <row r="21">
      <c r="A21" s="15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5" t="n"/>
      <c r="M21" s="17" t="n"/>
      <c r="N21" s="15" t="n"/>
      <c r="O21" s="14">
        <f>IF(AND(L21&lt;&gt;"",L21&lt;=TODAY(),J21&lt;&gt;"Sin interés"),"Contactar","")</f>
        <v/>
      </c>
      <c r="P21" s="16" t="n"/>
    </row>
    <row r="22">
      <c r="A22" s="15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5" t="n"/>
      <c r="M22" s="17" t="n"/>
      <c r="N22" s="15" t="n"/>
      <c r="O22" s="14">
        <f>IF(AND(L22&lt;&gt;"",L22&lt;=TODAY(),J22&lt;&gt;"Sin interés"),"Contactar","")</f>
        <v/>
      </c>
      <c r="P22" s="16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5" t="n"/>
      <c r="M23" s="17" t="n"/>
      <c r="N23" s="15" t="n"/>
      <c r="O23" s="14">
        <f>IF(AND(L23&lt;&gt;"",L23&lt;=TODAY(),J23&lt;&gt;"Sin interés"),"Contactar","")</f>
        <v/>
      </c>
      <c r="P23" s="16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5" t="n"/>
      <c r="M24" s="17" t="n"/>
      <c r="N24" s="15" t="n"/>
      <c r="O24" s="14">
        <f>IF(AND(L24&lt;&gt;"",L24&lt;=TODAY(),J24&lt;&gt;"Sin interés"),"Contactar","")</f>
        <v/>
      </c>
      <c r="P24" s="16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5" t="n"/>
      <c r="M25" s="17" t="n"/>
      <c r="N25" s="15" t="n"/>
      <c r="O25" s="14">
        <f>IF(AND(L25&lt;&gt;"",L25&lt;=TODAY(),J25&lt;&gt;"Sin interés"),"Contactar","")</f>
        <v/>
      </c>
      <c r="P25" s="16" t="n"/>
    </row>
    <row r="26">
      <c r="A26" s="15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5" t="n"/>
      <c r="M26" s="17" t="n"/>
      <c r="N26" s="15" t="n"/>
      <c r="O26" s="14">
        <f>IF(AND(L26&lt;&gt;"",L26&lt;=TODAY(),J26&lt;&gt;"Sin interés"),"Contactar","")</f>
        <v/>
      </c>
      <c r="P26" s="16" t="n"/>
    </row>
    <row r="27">
      <c r="A27" s="15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5" t="n"/>
      <c r="M27" s="17" t="n"/>
      <c r="N27" s="15" t="n"/>
      <c r="O27" s="14">
        <f>IF(AND(L27&lt;&gt;"",L27&lt;=TODAY(),J27&lt;&gt;"Sin interés"),"Contactar","")</f>
        <v/>
      </c>
      <c r="P27" s="16" t="n"/>
    </row>
    <row r="28">
      <c r="A28" s="15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5" t="n"/>
      <c r="M28" s="17" t="n"/>
      <c r="N28" s="15" t="n"/>
      <c r="O28" s="14">
        <f>IF(AND(L28&lt;&gt;"",L28&lt;=TODAY(),J28&lt;&gt;"Sin interés"),"Contactar","")</f>
        <v/>
      </c>
      <c r="P28" s="16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5" t="n"/>
      <c r="M29" s="17" t="n"/>
      <c r="N29" s="15" t="n"/>
      <c r="O29" s="14">
        <f>IF(AND(L29&lt;&gt;"",L29&lt;=TODAY(),J29&lt;&gt;"Sin interés"),"Contactar","")</f>
        <v/>
      </c>
      <c r="P29" s="16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5" t="n"/>
      <c r="M30" s="17" t="n"/>
      <c r="N30" s="15" t="n"/>
      <c r="O30" s="14">
        <f>IF(AND(L30&lt;&gt;"",L30&lt;=TODAY(),J30&lt;&gt;"Sin interés"),"Contactar","")</f>
        <v/>
      </c>
      <c r="P30" s="16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5" t="n"/>
      <c r="M31" s="17" t="n"/>
      <c r="N31" s="15" t="n"/>
      <c r="O31" s="14">
        <f>IF(AND(L31&lt;&gt;"",L31&lt;=TODAY(),J31&lt;&gt;"Sin interés"),"Contactar","")</f>
        <v/>
      </c>
      <c r="P31" s="16" t="n"/>
    </row>
    <row r="32">
      <c r="A32" s="15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5" t="n"/>
      <c r="M32" s="17" t="n"/>
      <c r="N32" s="15" t="n"/>
      <c r="O32" s="14">
        <f>IF(AND(L32&lt;&gt;"",L32&lt;=TODAY(),J32&lt;&gt;"Sin interés"),"Contactar","")</f>
        <v/>
      </c>
      <c r="P32" s="16" t="n"/>
    </row>
    <row r="33">
      <c r="A33" s="15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5" t="n"/>
      <c r="M33" s="17" t="n"/>
      <c r="N33" s="15" t="n"/>
      <c r="O33" s="14">
        <f>IF(AND(L33&lt;&gt;"",L33&lt;=TODAY(),J33&lt;&gt;"Sin interés"),"Contactar","")</f>
        <v/>
      </c>
      <c r="P33" s="16" t="n"/>
    </row>
    <row r="34">
      <c r="A34" s="15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5" t="n"/>
      <c r="M34" s="17" t="n"/>
      <c r="N34" s="15" t="n"/>
      <c r="O34" s="14">
        <f>IF(AND(L34&lt;&gt;"",L34&lt;=TODAY(),J34&lt;&gt;"Sin interés"),"Contactar","")</f>
        <v/>
      </c>
      <c r="P34" s="16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5" t="n"/>
      <c r="M35" s="17" t="n"/>
      <c r="N35" s="15" t="n"/>
      <c r="O35" s="14">
        <f>IF(AND(L35&lt;&gt;"",L35&lt;=TODAY(),J35&lt;&gt;"Sin interés"),"Contactar","")</f>
        <v/>
      </c>
      <c r="P35" s="16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5" t="n"/>
      <c r="M36" s="17" t="n"/>
      <c r="N36" s="15" t="n"/>
      <c r="O36" s="14">
        <f>IF(AND(L36&lt;&gt;"",L36&lt;=TODAY(),J36&lt;&gt;"Sin interés"),"Contactar","")</f>
        <v/>
      </c>
      <c r="P36" s="16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5" t="n"/>
      <c r="M37" s="17" t="n"/>
      <c r="N37" s="15" t="n"/>
      <c r="O37" s="14">
        <f>IF(AND(L37&lt;&gt;"",L37&lt;=TODAY(),J37&lt;&gt;"Sin interés"),"Contactar","")</f>
        <v/>
      </c>
      <c r="P37" s="16" t="n"/>
    </row>
    <row r="38">
      <c r="A38" s="15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5" t="n"/>
      <c r="M38" s="17" t="n"/>
      <c r="N38" s="15" t="n"/>
      <c r="O38" s="14">
        <f>IF(AND(L38&lt;&gt;"",L38&lt;=TODAY(),J38&lt;&gt;"Sin interés"),"Contactar","")</f>
        <v/>
      </c>
      <c r="P38" s="16" t="n"/>
    </row>
    <row r="39">
      <c r="A39" s="15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5" t="n"/>
      <c r="M39" s="17" t="n"/>
      <c r="N39" s="15" t="n"/>
      <c r="O39" s="14">
        <f>IF(AND(L39&lt;&gt;"",L39&lt;=TODAY(),J39&lt;&gt;"Sin interés"),"Contactar","")</f>
        <v/>
      </c>
      <c r="P39" s="16" t="n"/>
    </row>
    <row r="40">
      <c r="A40" s="15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5" t="n"/>
      <c r="M40" s="17" t="n"/>
      <c r="N40" s="15" t="n"/>
      <c r="O40" s="14">
        <f>IF(AND(L40&lt;&gt;"",L40&lt;=TODAY(),J40&lt;&gt;"Sin interés"),"Contactar","")</f>
        <v/>
      </c>
      <c r="P40" s="16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5" t="n"/>
      <c r="M41" s="17" t="n"/>
      <c r="N41" s="15" t="n"/>
      <c r="O41" s="14">
        <f>IF(AND(L41&lt;&gt;"",L41&lt;=TODAY(),J41&lt;&gt;"Sin interés"),"Contactar","")</f>
        <v/>
      </c>
      <c r="P41" s="16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5" t="n"/>
      <c r="M42" s="17" t="n"/>
      <c r="N42" s="15" t="n"/>
      <c r="O42" s="14">
        <f>IF(AND(L42&lt;&gt;"",L42&lt;=TODAY(),J42&lt;&gt;"Sin interés"),"Contactar","")</f>
        <v/>
      </c>
      <c r="P42" s="16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5" t="n"/>
      <c r="M43" s="17" t="n"/>
      <c r="N43" s="15" t="n"/>
      <c r="O43" s="14">
        <f>IF(AND(L43&lt;&gt;"",L43&lt;=TODAY(),J43&lt;&gt;"Sin interés"),"Contactar","")</f>
        <v/>
      </c>
      <c r="P43" s="16" t="n"/>
    </row>
    <row r="44">
      <c r="A44" s="15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5" t="n"/>
      <c r="M44" s="17" t="n"/>
      <c r="N44" s="15" t="n"/>
      <c r="O44" s="14">
        <f>IF(AND(L44&lt;&gt;"",L44&lt;=TODAY(),J44&lt;&gt;"Sin interés"),"Contactar","")</f>
        <v/>
      </c>
      <c r="P44" s="16" t="n"/>
    </row>
    <row r="45">
      <c r="A45" s="15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5" t="n"/>
      <c r="M45" s="17" t="n"/>
      <c r="N45" s="15" t="n"/>
      <c r="O45" s="14">
        <f>IF(AND(L45&lt;&gt;"",L45&lt;=TODAY(),J45&lt;&gt;"Sin interés"),"Contactar","")</f>
        <v/>
      </c>
      <c r="P45" s="16" t="n"/>
    </row>
    <row r="46">
      <c r="A46" s="15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5" t="n"/>
      <c r="M46" s="17" t="n"/>
      <c r="N46" s="15" t="n"/>
      <c r="O46" s="14">
        <f>IF(AND(L46&lt;&gt;"",L46&lt;=TODAY(),J46&lt;&gt;"Sin interés"),"Contactar","")</f>
        <v/>
      </c>
      <c r="P46" s="16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5" t="n"/>
      <c r="M47" s="17" t="n"/>
      <c r="N47" s="15" t="n"/>
      <c r="O47" s="14">
        <f>IF(AND(L47&lt;&gt;"",L47&lt;=TODAY(),J47&lt;&gt;"Sin interés"),"Contactar","")</f>
        <v/>
      </c>
      <c r="P47" s="16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5" t="n"/>
      <c r="M48" s="17" t="n"/>
      <c r="N48" s="15" t="n"/>
      <c r="O48" s="14">
        <f>IF(AND(L48&lt;&gt;"",L48&lt;=TODAY(),J48&lt;&gt;"Sin interés"),"Contactar","")</f>
        <v/>
      </c>
      <c r="P48" s="16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5" t="n"/>
      <c r="M49" s="17" t="n"/>
      <c r="N49" s="15" t="n"/>
      <c r="O49" s="14">
        <f>IF(AND(L49&lt;&gt;"",L49&lt;=TODAY(),J49&lt;&gt;"Sin interés"),"Contactar","")</f>
        <v/>
      </c>
      <c r="P49" s="16" t="n"/>
    </row>
    <row r="50">
      <c r="A50" s="15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5" t="n"/>
      <c r="M50" s="17" t="n"/>
      <c r="N50" s="15" t="n"/>
      <c r="O50" s="14">
        <f>IF(AND(L50&lt;&gt;"",L50&lt;=TODAY(),J50&lt;&gt;"Sin interés"),"Contactar","")</f>
        <v/>
      </c>
      <c r="P50" s="16" t="n"/>
    </row>
    <row r="51">
      <c r="A51" s="15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5" t="n"/>
      <c r="M51" s="17" t="n"/>
      <c r="N51" s="15" t="n"/>
      <c r="O51" s="14">
        <f>IF(AND(L51&lt;&gt;"",L51&lt;=TODAY(),J51&lt;&gt;"Sin interés"),"Contactar","")</f>
        <v/>
      </c>
      <c r="P51" s="16" t="n"/>
    </row>
    <row r="52">
      <c r="A52" s="15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5" t="n"/>
      <c r="M52" s="17" t="n"/>
      <c r="N52" s="15" t="n"/>
      <c r="O52" s="14">
        <f>IF(AND(L52&lt;&gt;"",L52&lt;=TODAY(),J52&lt;&gt;"Sin interés"),"Contactar","")</f>
        <v/>
      </c>
      <c r="P52" s="16" t="n"/>
    </row>
    <row r="53">
      <c r="A53" s="15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5" t="n"/>
      <c r="M53" s="17" t="n"/>
      <c r="N53" s="15" t="n"/>
      <c r="O53" s="14">
        <f>IF(AND(L53&lt;&gt;"",L53&lt;=TODAY(),J53&lt;&gt;"Sin interés"),"Contactar","")</f>
        <v/>
      </c>
      <c r="P53" s="16" t="n"/>
    </row>
    <row r="54">
      <c r="A54" s="15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5" t="n"/>
      <c r="M54" s="17" t="n"/>
      <c r="N54" s="15" t="n"/>
      <c r="O54" s="14">
        <f>IF(AND(L54&lt;&gt;"",L54&lt;=TODAY(),J54&lt;&gt;"Sin interés"),"Contactar","")</f>
        <v/>
      </c>
      <c r="P54" s="16" t="n"/>
    </row>
    <row r="55">
      <c r="A55" s="15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5" t="n"/>
      <c r="M55" s="17" t="n"/>
      <c r="N55" s="15" t="n"/>
      <c r="O55" s="14">
        <f>IF(AND(L55&lt;&gt;"",L55&lt;=TODAY(),J55&lt;&gt;"Sin interés"),"Contactar","")</f>
        <v/>
      </c>
      <c r="P55" s="16" t="n"/>
    </row>
    <row r="56">
      <c r="A56" s="15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5" t="n"/>
      <c r="M56" s="17" t="n"/>
      <c r="N56" s="15" t="n"/>
      <c r="O56" s="14">
        <f>IF(AND(L56&lt;&gt;"",L56&lt;=TODAY(),J56&lt;&gt;"Sin interés"),"Contactar","")</f>
        <v/>
      </c>
      <c r="P56" s="16" t="n"/>
    </row>
    <row r="57">
      <c r="A57" s="15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5" t="n"/>
      <c r="M57" s="17" t="n"/>
      <c r="N57" s="15" t="n"/>
      <c r="O57" s="14">
        <f>IF(AND(L57&lt;&gt;"",L57&lt;=TODAY(),J57&lt;&gt;"Sin interés"),"Contactar","")</f>
        <v/>
      </c>
      <c r="P57" s="16" t="n"/>
    </row>
    <row r="58">
      <c r="A58" s="15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5" t="n"/>
      <c r="M58" s="17" t="n"/>
      <c r="N58" s="15" t="n"/>
      <c r="O58" s="14">
        <f>IF(AND(L58&lt;&gt;"",L58&lt;=TODAY(),J58&lt;&gt;"Sin interés"),"Contactar","")</f>
        <v/>
      </c>
      <c r="P58" s="16" t="n"/>
    </row>
    <row r="59">
      <c r="A59" s="15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5" t="n"/>
      <c r="M59" s="17" t="n"/>
      <c r="N59" s="15" t="n"/>
      <c r="O59" s="14">
        <f>IF(AND(L59&lt;&gt;"",L59&lt;=TODAY(),J59&lt;&gt;"Sin interés"),"Contactar","")</f>
        <v/>
      </c>
      <c r="P59" s="16" t="n"/>
    </row>
    <row r="60">
      <c r="A60" s="15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5" t="n"/>
      <c r="M60" s="17" t="n"/>
      <c r="N60" s="15" t="n"/>
      <c r="O60" s="14">
        <f>IF(AND(L60&lt;&gt;"",L60&lt;=TODAY(),J60&lt;&gt;"Sin interés"),"Contactar","")</f>
        <v/>
      </c>
      <c r="P60" s="16" t="n"/>
    </row>
    <row r="61">
      <c r="A61" s="15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5" t="n"/>
      <c r="M61" s="17" t="n"/>
      <c r="N61" s="15" t="n"/>
      <c r="O61" s="14">
        <f>IF(AND(L61&lt;&gt;"",L61&lt;=TODAY(),J61&lt;&gt;"Sin interés"),"Contactar","")</f>
        <v/>
      </c>
      <c r="P61" s="16" t="n"/>
    </row>
    <row r="62">
      <c r="A62" s="15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5" t="n"/>
      <c r="M62" s="17" t="n"/>
      <c r="N62" s="15" t="n"/>
      <c r="O62" s="14">
        <f>IF(AND(L62&lt;&gt;"",L62&lt;=TODAY(),J62&lt;&gt;"Sin interés"),"Contactar","")</f>
        <v/>
      </c>
      <c r="P62" s="16" t="n"/>
    </row>
    <row r="63">
      <c r="A63" s="15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5" t="n"/>
      <c r="M63" s="17" t="n"/>
      <c r="N63" s="15" t="n"/>
      <c r="O63" s="14">
        <f>IF(AND(L63&lt;&gt;"",L63&lt;=TODAY(),J63&lt;&gt;"Sin interés"),"Contactar","")</f>
        <v/>
      </c>
      <c r="P63" s="16" t="n"/>
    </row>
    <row r="64">
      <c r="A64" s="15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5" t="n"/>
      <c r="M64" s="17" t="n"/>
      <c r="N64" s="15" t="n"/>
      <c r="O64" s="14">
        <f>IF(AND(L64&lt;&gt;"",L64&lt;=TODAY(),J64&lt;&gt;"Sin interés"),"Contactar","")</f>
        <v/>
      </c>
      <c r="P64" s="16" t="n"/>
    </row>
    <row r="65">
      <c r="A65" s="15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5" t="n"/>
      <c r="M65" s="17" t="n"/>
      <c r="N65" s="15" t="n"/>
      <c r="O65" s="14">
        <f>IF(AND(L65&lt;&gt;"",L65&lt;=TODAY(),J65&lt;&gt;"Sin interés"),"Contactar","")</f>
        <v/>
      </c>
      <c r="P65" s="16" t="n"/>
    </row>
    <row r="66">
      <c r="A66" s="15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5" t="n"/>
      <c r="M66" s="17" t="n"/>
      <c r="N66" s="15" t="n"/>
      <c r="O66" s="14">
        <f>IF(AND(L66&lt;&gt;"",L66&lt;=TODAY(),J66&lt;&gt;"Sin interés"),"Contactar","")</f>
        <v/>
      </c>
      <c r="P66" s="16" t="n"/>
    </row>
    <row r="67">
      <c r="A67" s="15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5" t="n"/>
      <c r="M67" s="17" t="n"/>
      <c r="N67" s="15" t="n"/>
      <c r="O67" s="14">
        <f>IF(AND(L67&lt;&gt;"",L67&lt;=TODAY(),J67&lt;&gt;"Sin interés"),"Contactar","")</f>
        <v/>
      </c>
      <c r="P67" s="16" t="n"/>
    </row>
    <row r="68">
      <c r="A68" s="15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5" t="n"/>
      <c r="M68" s="17" t="n"/>
      <c r="N68" s="15" t="n"/>
      <c r="O68" s="14">
        <f>IF(AND(L68&lt;&gt;"",L68&lt;=TODAY(),J68&lt;&gt;"Sin interés"),"Contactar","")</f>
        <v/>
      </c>
      <c r="P68" s="16" t="n"/>
    </row>
    <row r="69">
      <c r="A69" s="15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5" t="n"/>
      <c r="M69" s="17" t="n"/>
      <c r="N69" s="15" t="n"/>
      <c r="O69" s="14">
        <f>IF(AND(L69&lt;&gt;"",L69&lt;=TODAY(),J69&lt;&gt;"Sin interés"),"Contactar","")</f>
        <v/>
      </c>
      <c r="P69" s="16" t="n"/>
    </row>
    <row r="70">
      <c r="A70" s="15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5" t="n"/>
      <c r="M70" s="17" t="n"/>
      <c r="N70" s="15" t="n"/>
      <c r="O70" s="14">
        <f>IF(AND(L70&lt;&gt;"",L70&lt;=TODAY(),J70&lt;&gt;"Sin interés"),"Contactar","")</f>
        <v/>
      </c>
      <c r="P70" s="16" t="n"/>
    </row>
    <row r="71">
      <c r="A71" s="15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5" t="n"/>
      <c r="M71" s="17" t="n"/>
      <c r="N71" s="15" t="n"/>
      <c r="O71" s="14">
        <f>IF(AND(L71&lt;&gt;"",L71&lt;=TODAY(),J71&lt;&gt;"Sin interés"),"Contactar","")</f>
        <v/>
      </c>
      <c r="P71" s="16" t="n"/>
    </row>
    <row r="72">
      <c r="A72" s="15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5" t="n"/>
      <c r="M72" s="17" t="n"/>
      <c r="N72" s="15" t="n"/>
      <c r="O72" s="14">
        <f>IF(AND(L72&lt;&gt;"",L72&lt;=TODAY(),J72&lt;&gt;"Sin interés"),"Contactar","")</f>
        <v/>
      </c>
      <c r="P72" s="16" t="n"/>
    </row>
    <row r="73">
      <c r="A73" s="15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5" t="n"/>
      <c r="M73" s="17" t="n"/>
      <c r="N73" s="15" t="n"/>
      <c r="O73" s="14">
        <f>IF(AND(L73&lt;&gt;"",L73&lt;=TODAY(),J73&lt;&gt;"Sin interés"),"Contactar","")</f>
        <v/>
      </c>
      <c r="P73" s="16" t="n"/>
    </row>
    <row r="74">
      <c r="A74" s="15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5" t="n"/>
      <c r="M74" s="17" t="n"/>
      <c r="N74" s="15" t="n"/>
      <c r="O74" s="14">
        <f>IF(AND(L74&lt;&gt;"",L74&lt;=TODAY(),J74&lt;&gt;"Sin interés"),"Contactar","")</f>
        <v/>
      </c>
      <c r="P74" s="16" t="n"/>
    </row>
    <row r="75">
      <c r="A75" s="15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5" t="n"/>
      <c r="M75" s="17" t="n"/>
      <c r="N75" s="15" t="n"/>
      <c r="O75" s="14">
        <f>IF(AND(L75&lt;&gt;"",L75&lt;=TODAY(),J75&lt;&gt;"Sin interés"),"Contactar","")</f>
        <v/>
      </c>
      <c r="P75" s="16" t="n"/>
    </row>
    <row r="76">
      <c r="A76" s="15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5" t="n"/>
      <c r="M76" s="17" t="n"/>
      <c r="N76" s="15" t="n"/>
      <c r="O76" s="14">
        <f>IF(AND(L76&lt;&gt;"",L76&lt;=TODAY(),J76&lt;&gt;"Sin interés"),"Contactar","")</f>
        <v/>
      </c>
      <c r="P76" s="16" t="n"/>
    </row>
    <row r="77">
      <c r="A77" s="15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5" t="n"/>
      <c r="M77" s="17" t="n"/>
      <c r="N77" s="15" t="n"/>
      <c r="O77" s="14">
        <f>IF(AND(L77&lt;&gt;"",L77&lt;=TODAY(),J77&lt;&gt;"Sin interés"),"Contactar","")</f>
        <v/>
      </c>
      <c r="P77" s="16" t="n"/>
    </row>
    <row r="78">
      <c r="A78" s="15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5" t="n"/>
      <c r="M78" s="17" t="n"/>
      <c r="N78" s="15" t="n"/>
      <c r="O78" s="14">
        <f>IF(AND(L78&lt;&gt;"",L78&lt;=TODAY(),J78&lt;&gt;"Sin interés"),"Contactar","")</f>
        <v/>
      </c>
      <c r="P78" s="16" t="n"/>
    </row>
    <row r="79">
      <c r="A79" s="15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5" t="n"/>
      <c r="M79" s="17" t="n"/>
      <c r="N79" s="15" t="n"/>
      <c r="O79" s="14">
        <f>IF(AND(L79&lt;&gt;"",L79&lt;=TODAY(),J79&lt;&gt;"Sin interés"),"Contactar","")</f>
        <v/>
      </c>
      <c r="P79" s="16" t="n"/>
    </row>
    <row r="80">
      <c r="A80" s="15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5" t="n"/>
      <c r="M80" s="17" t="n"/>
      <c r="N80" s="15" t="n"/>
      <c r="O80" s="14">
        <f>IF(AND(L80&lt;&gt;"",L80&lt;=TODAY(),J80&lt;&gt;"Sin interés"),"Contactar","")</f>
        <v/>
      </c>
      <c r="P80" s="16" t="n"/>
    </row>
    <row r="81">
      <c r="A81" s="15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5" t="n"/>
      <c r="M81" s="17" t="n"/>
      <c r="N81" s="15" t="n"/>
      <c r="O81" s="14">
        <f>IF(AND(L81&lt;&gt;"",L81&lt;=TODAY(),J81&lt;&gt;"Sin interés"),"Contactar","")</f>
        <v/>
      </c>
      <c r="P81" s="16" t="n"/>
    </row>
    <row r="82">
      <c r="A82" s="15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5" t="n"/>
      <c r="M82" s="17" t="n"/>
      <c r="N82" s="15" t="n"/>
      <c r="O82" s="14">
        <f>IF(AND(L82&lt;&gt;"",L82&lt;=TODAY(),J82&lt;&gt;"Sin interés"),"Contactar","")</f>
        <v/>
      </c>
      <c r="P82" s="16" t="n"/>
    </row>
    <row r="83">
      <c r="A83" s="15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5" t="n"/>
      <c r="M83" s="17" t="n"/>
      <c r="N83" s="15" t="n"/>
      <c r="O83" s="14">
        <f>IF(AND(L83&lt;&gt;"",L83&lt;=TODAY(),J83&lt;&gt;"Sin interés"),"Contactar","")</f>
        <v/>
      </c>
      <c r="P83" s="16" t="n"/>
    </row>
    <row r="84">
      <c r="A84" s="15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5" t="n"/>
      <c r="M84" s="17" t="n"/>
      <c r="N84" s="15" t="n"/>
      <c r="O84" s="14">
        <f>IF(AND(L84&lt;&gt;"",L84&lt;=TODAY(),J84&lt;&gt;"Sin interés"),"Contactar","")</f>
        <v/>
      </c>
      <c r="P84" s="16" t="n"/>
    </row>
    <row r="85">
      <c r="A85" s="15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5" t="n"/>
      <c r="M85" s="17" t="n"/>
      <c r="N85" s="15" t="n"/>
      <c r="O85" s="14">
        <f>IF(AND(L85&lt;&gt;"",L85&lt;=TODAY(),J85&lt;&gt;"Sin interés"),"Contactar","")</f>
        <v/>
      </c>
      <c r="P85" s="16" t="n"/>
    </row>
    <row r="86">
      <c r="A86" s="15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5" t="n"/>
      <c r="M86" s="17" t="n"/>
      <c r="N86" s="15" t="n"/>
      <c r="O86" s="14">
        <f>IF(AND(L86&lt;&gt;"",L86&lt;=TODAY(),J86&lt;&gt;"Sin interés"),"Contactar","")</f>
        <v/>
      </c>
      <c r="P86" s="16" t="n"/>
    </row>
    <row r="87">
      <c r="A87" s="15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5" t="n"/>
      <c r="M87" s="17" t="n"/>
      <c r="N87" s="15" t="n"/>
      <c r="O87" s="14">
        <f>IF(AND(L87&lt;&gt;"",L87&lt;=TODAY(),J87&lt;&gt;"Sin interés"),"Contactar","")</f>
        <v/>
      </c>
      <c r="P87" s="16" t="n"/>
    </row>
    <row r="88">
      <c r="A88" s="15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5" t="n"/>
      <c r="M88" s="17" t="n"/>
      <c r="N88" s="15" t="n"/>
      <c r="O88" s="14">
        <f>IF(AND(L88&lt;&gt;"",L88&lt;=TODAY(),J88&lt;&gt;"Sin interés"),"Contactar","")</f>
        <v/>
      </c>
      <c r="P88" s="16" t="n"/>
    </row>
    <row r="89">
      <c r="A89" s="15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5" t="n"/>
      <c r="M89" s="17" t="n"/>
      <c r="N89" s="15" t="n"/>
      <c r="O89" s="14">
        <f>IF(AND(L89&lt;&gt;"",L89&lt;=TODAY(),J89&lt;&gt;"Sin interés"),"Contactar","")</f>
        <v/>
      </c>
      <c r="P89" s="16" t="n"/>
    </row>
    <row r="90">
      <c r="A90" s="15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5" t="n"/>
      <c r="M90" s="17" t="n"/>
      <c r="N90" s="15" t="n"/>
      <c r="O90" s="14">
        <f>IF(AND(L90&lt;&gt;"",L90&lt;=TODAY(),J90&lt;&gt;"Sin interés"),"Contactar","")</f>
        <v/>
      </c>
      <c r="P90" s="16" t="n"/>
    </row>
    <row r="91">
      <c r="A91" s="15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5" t="n"/>
      <c r="M91" s="17" t="n"/>
      <c r="N91" s="15" t="n"/>
      <c r="O91" s="14">
        <f>IF(AND(L91&lt;&gt;"",L91&lt;=TODAY(),J91&lt;&gt;"Sin interés"),"Contactar","")</f>
        <v/>
      </c>
      <c r="P91" s="16" t="n"/>
    </row>
    <row r="92">
      <c r="A92" s="15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5" t="n"/>
      <c r="M92" s="17" t="n"/>
      <c r="N92" s="15" t="n"/>
      <c r="O92" s="14">
        <f>IF(AND(L92&lt;&gt;"",L92&lt;=TODAY(),J92&lt;&gt;"Sin interés"),"Contactar","")</f>
        <v/>
      </c>
      <c r="P92" s="16" t="n"/>
    </row>
    <row r="93">
      <c r="A93" s="15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5" t="n"/>
      <c r="M93" s="17" t="n"/>
      <c r="N93" s="15" t="n"/>
      <c r="O93" s="14">
        <f>IF(AND(L93&lt;&gt;"",L93&lt;=TODAY(),J93&lt;&gt;"Sin interés"),"Contactar","")</f>
        <v/>
      </c>
      <c r="P93" s="16" t="n"/>
    </row>
    <row r="94">
      <c r="A94" s="15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5" t="n"/>
      <c r="M94" s="17" t="n"/>
      <c r="N94" s="15" t="n"/>
      <c r="O94" s="14">
        <f>IF(AND(L94&lt;&gt;"",L94&lt;=TODAY(),J94&lt;&gt;"Sin interés"),"Contactar","")</f>
        <v/>
      </c>
      <c r="P94" s="16" t="n"/>
    </row>
    <row r="95">
      <c r="A95" s="15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5" t="n"/>
      <c r="M95" s="17" t="n"/>
      <c r="N95" s="15" t="n"/>
      <c r="O95" s="14">
        <f>IF(AND(L95&lt;&gt;"",L95&lt;=TODAY(),J95&lt;&gt;"Sin interés"),"Contactar","")</f>
        <v/>
      </c>
      <c r="P95" s="16" t="n"/>
    </row>
    <row r="96">
      <c r="A96" s="15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5" t="n"/>
      <c r="M96" s="17" t="n"/>
      <c r="N96" s="15" t="n"/>
      <c r="O96" s="14">
        <f>IF(AND(L96&lt;&gt;"",L96&lt;=TODAY(),J96&lt;&gt;"Sin interés"),"Contactar","")</f>
        <v/>
      </c>
      <c r="P96" s="16" t="n"/>
    </row>
    <row r="97">
      <c r="A97" s="15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5" t="n"/>
      <c r="M97" s="17" t="n"/>
      <c r="N97" s="15" t="n"/>
      <c r="O97" s="14">
        <f>IF(AND(L97&lt;&gt;"",L97&lt;=TODAY(),J97&lt;&gt;"Sin interés"),"Contactar","")</f>
        <v/>
      </c>
      <c r="P97" s="16" t="n"/>
    </row>
    <row r="98">
      <c r="A98" s="15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5" t="n"/>
      <c r="M98" s="17" t="n"/>
      <c r="N98" s="15" t="n"/>
      <c r="O98" s="14">
        <f>IF(AND(L98&lt;&gt;"",L98&lt;=TODAY(),J98&lt;&gt;"Sin interés"),"Contactar","")</f>
        <v/>
      </c>
      <c r="P98" s="16" t="n"/>
    </row>
    <row r="99">
      <c r="A99" s="15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5" t="n"/>
      <c r="M99" s="17" t="n"/>
      <c r="N99" s="15" t="n"/>
      <c r="O99" s="14">
        <f>IF(AND(L99&lt;&gt;"",L99&lt;=TODAY(),J99&lt;&gt;"Sin interés"),"Contactar","")</f>
        <v/>
      </c>
      <c r="P99" s="16" t="n"/>
    </row>
    <row r="100">
      <c r="A100" s="15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5" t="n"/>
      <c r="M100" s="17" t="n"/>
      <c r="N100" s="15" t="n"/>
      <c r="O100" s="14">
        <f>IF(AND(L100&lt;&gt;"",L100&lt;=TODAY(),J100&lt;&gt;"Sin interés"),"Contactar","")</f>
        <v/>
      </c>
      <c r="P100" s="16" t="n"/>
    </row>
    <row r="101">
      <c r="A101" s="15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5" t="n"/>
      <c r="M101" s="17" t="n"/>
      <c r="N101" s="15" t="n"/>
      <c r="O101" s="14">
        <f>IF(AND(L101&lt;&gt;"",L101&lt;=TODAY(),J101&lt;&gt;"Sin interés"),"Contactar","")</f>
        <v/>
      </c>
      <c r="P101" s="16" t="n"/>
    </row>
    <row r="102">
      <c r="A102" s="15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5" t="n"/>
      <c r="M102" s="17" t="n"/>
      <c r="N102" s="15" t="n"/>
      <c r="O102" s="14">
        <f>IF(AND(L102&lt;&gt;"",L102&lt;=TODAY(),J102&lt;&gt;"Sin interés"),"Contactar","")</f>
        <v/>
      </c>
      <c r="P102" s="16" t="n"/>
    </row>
    <row r="103">
      <c r="A103" s="15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5" t="n"/>
      <c r="M103" s="17" t="n"/>
      <c r="N103" s="15" t="n"/>
      <c r="O103" s="14">
        <f>IF(AND(L103&lt;&gt;"",L103&lt;=TODAY(),J103&lt;&gt;"Sin interés"),"Contactar","")</f>
        <v/>
      </c>
      <c r="P103" s="16" t="n"/>
    </row>
    <row r="104">
      <c r="A104" s="15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5" t="n"/>
      <c r="M104" s="17" t="n"/>
      <c r="N104" s="15" t="n"/>
      <c r="O104" s="14">
        <f>IF(AND(L104&lt;&gt;"",L104&lt;=TODAY(),J104&lt;&gt;"Sin interés"),"Contactar","")</f>
        <v/>
      </c>
      <c r="P104" s="16" t="n"/>
    </row>
    <row r="105">
      <c r="A105" s="15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5" t="n"/>
      <c r="M105" s="17" t="n"/>
      <c r="N105" s="15" t="n"/>
      <c r="O105" s="14">
        <f>IF(AND(L105&lt;&gt;"",L105&lt;=TODAY(),J105&lt;&gt;"Sin interés"),"Contactar","")</f>
        <v/>
      </c>
      <c r="P105" s="16" t="n"/>
    </row>
    <row r="106">
      <c r="A106" s="15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5" t="n"/>
      <c r="M106" s="17" t="n"/>
      <c r="N106" s="15" t="n"/>
      <c r="O106" s="14">
        <f>IF(AND(L106&lt;&gt;"",L106&lt;=TODAY(),J106&lt;&gt;"Sin interés"),"Contactar","")</f>
        <v/>
      </c>
      <c r="P106" s="16" t="n"/>
    </row>
    <row r="107">
      <c r="A107" s="15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5" t="n"/>
      <c r="M107" s="17" t="n"/>
      <c r="N107" s="15" t="n"/>
      <c r="O107" s="14">
        <f>IF(AND(L107&lt;&gt;"",L107&lt;=TODAY(),J107&lt;&gt;"Sin interés"),"Contactar","")</f>
        <v/>
      </c>
      <c r="P107" s="16" t="n"/>
    </row>
    <row r="108">
      <c r="A108" s="15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5" t="n"/>
      <c r="M108" s="17" t="n"/>
      <c r="N108" s="15" t="n"/>
      <c r="O108" s="14">
        <f>IF(AND(L108&lt;&gt;"",L108&lt;=TODAY(),J108&lt;&gt;"Sin interés"),"Contactar","")</f>
        <v/>
      </c>
      <c r="P108" s="16" t="n"/>
    </row>
    <row r="109">
      <c r="A109" s="15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5" t="n"/>
      <c r="M109" s="17" t="n"/>
      <c r="N109" s="15" t="n"/>
      <c r="O109" s="14">
        <f>IF(AND(L109&lt;&gt;"",L109&lt;=TODAY(),J109&lt;&gt;"Sin interés"),"Contactar","")</f>
        <v/>
      </c>
      <c r="P109" s="16" t="n"/>
    </row>
    <row r="110">
      <c r="A110" s="15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5" t="n"/>
      <c r="M110" s="17" t="n"/>
      <c r="N110" s="15" t="n"/>
      <c r="O110" s="14">
        <f>IF(AND(L110&lt;&gt;"",L110&lt;=TODAY(),J110&lt;&gt;"Sin interés"),"Contactar","")</f>
        <v/>
      </c>
      <c r="P110" s="16" t="n"/>
    </row>
    <row r="111">
      <c r="A111" s="15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5" t="n"/>
      <c r="M111" s="17" t="n"/>
      <c r="N111" s="15" t="n"/>
      <c r="O111" s="14">
        <f>IF(AND(L111&lt;&gt;"",L111&lt;=TODAY(),J111&lt;&gt;"Sin interés"),"Contactar","")</f>
        <v/>
      </c>
      <c r="P111" s="16" t="n"/>
    </row>
    <row r="112">
      <c r="A112" s="15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5" t="n"/>
      <c r="M112" s="17" t="n"/>
      <c r="N112" s="15" t="n"/>
      <c r="O112" s="14">
        <f>IF(AND(L112&lt;&gt;"",L112&lt;=TODAY(),J112&lt;&gt;"Sin interés"),"Contactar","")</f>
        <v/>
      </c>
      <c r="P112" s="16" t="n"/>
    </row>
    <row r="113">
      <c r="A113" s="15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5" t="n"/>
      <c r="M113" s="17" t="n"/>
      <c r="N113" s="15" t="n"/>
      <c r="O113" s="14">
        <f>IF(AND(L113&lt;&gt;"",L113&lt;=TODAY(),J113&lt;&gt;"Sin interés"),"Contactar","")</f>
        <v/>
      </c>
      <c r="P113" s="16" t="n"/>
    </row>
    <row r="114">
      <c r="A114" s="15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5" t="n"/>
      <c r="M114" s="17" t="n"/>
      <c r="N114" s="15" t="n"/>
      <c r="O114" s="14">
        <f>IF(AND(L114&lt;&gt;"",L114&lt;=TODAY(),J114&lt;&gt;"Sin interés"),"Contactar","")</f>
        <v/>
      </c>
      <c r="P114" s="16" t="n"/>
    </row>
    <row r="115">
      <c r="A115" s="15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5" t="n"/>
      <c r="M115" s="17" t="n"/>
      <c r="N115" s="15" t="n"/>
      <c r="O115" s="14">
        <f>IF(AND(L115&lt;&gt;"",L115&lt;=TODAY(),J115&lt;&gt;"Sin interés"),"Contactar","")</f>
        <v/>
      </c>
      <c r="P115" s="16" t="n"/>
    </row>
    <row r="116">
      <c r="A116" s="15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5" t="n"/>
      <c r="M116" s="17" t="n"/>
      <c r="N116" s="15" t="n"/>
      <c r="O116" s="14">
        <f>IF(AND(L116&lt;&gt;"",L116&lt;=TODAY(),J116&lt;&gt;"Sin interés"),"Contactar","")</f>
        <v/>
      </c>
      <c r="P116" s="16" t="n"/>
    </row>
    <row r="117">
      <c r="A117" s="15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5" t="n"/>
      <c r="M117" s="17" t="n"/>
      <c r="N117" s="15" t="n"/>
      <c r="O117" s="14">
        <f>IF(AND(L117&lt;&gt;"",L117&lt;=TODAY(),J117&lt;&gt;"Sin interés"),"Contactar","")</f>
        <v/>
      </c>
      <c r="P117" s="16" t="n"/>
    </row>
    <row r="118">
      <c r="A118" s="15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5" t="n"/>
      <c r="M118" s="17" t="n"/>
      <c r="N118" s="15" t="n"/>
      <c r="O118" s="14">
        <f>IF(AND(L118&lt;&gt;"",L118&lt;=TODAY(),J118&lt;&gt;"Sin interés"),"Contactar","")</f>
        <v/>
      </c>
      <c r="P118" s="16" t="n"/>
    </row>
    <row r="119">
      <c r="A119" s="15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5" t="n"/>
      <c r="M119" s="17" t="n"/>
      <c r="N119" s="15" t="n"/>
      <c r="O119" s="14">
        <f>IF(AND(L119&lt;&gt;"",L119&lt;=TODAY(),J119&lt;&gt;"Sin interés"),"Contactar","")</f>
        <v/>
      </c>
      <c r="P119" s="16" t="n"/>
    </row>
    <row r="120">
      <c r="A120" s="15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5" t="n"/>
      <c r="M120" s="17" t="n"/>
      <c r="N120" s="15" t="n"/>
      <c r="O120" s="14">
        <f>IF(AND(L120&lt;&gt;"",L120&lt;=TODAY(),J120&lt;&gt;"Sin interés"),"Contactar","")</f>
        <v/>
      </c>
      <c r="P120" s="16" t="n"/>
    </row>
    <row r="121">
      <c r="A121" s="15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5" t="n"/>
      <c r="M121" s="17" t="n"/>
      <c r="N121" s="15" t="n"/>
      <c r="O121" s="14">
        <f>IF(AND(L121&lt;&gt;"",L121&lt;=TODAY(),J121&lt;&gt;"Sin interés"),"Contactar","")</f>
        <v/>
      </c>
      <c r="P121" s="16" t="n"/>
    </row>
    <row r="122">
      <c r="A122" s="15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5" t="n"/>
      <c r="M122" s="17" t="n"/>
      <c r="N122" s="15" t="n"/>
      <c r="O122" s="14">
        <f>IF(AND(L122&lt;&gt;"",L122&lt;=TODAY(),J122&lt;&gt;"Sin interés"),"Contactar","")</f>
        <v/>
      </c>
      <c r="P122" s="16" t="n"/>
    </row>
    <row r="123">
      <c r="A123" s="15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5" t="n"/>
      <c r="M123" s="17" t="n"/>
      <c r="N123" s="15" t="n"/>
      <c r="O123" s="14">
        <f>IF(AND(L123&lt;&gt;"",L123&lt;=TODAY(),J123&lt;&gt;"Sin interés"),"Contactar","")</f>
        <v/>
      </c>
      <c r="P123" s="16" t="n"/>
    </row>
    <row r="124">
      <c r="A124" s="15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5" t="n"/>
      <c r="M124" s="17" t="n"/>
      <c r="N124" s="15" t="n"/>
      <c r="O124" s="14">
        <f>IF(AND(L124&lt;&gt;"",L124&lt;=TODAY(),J124&lt;&gt;"Sin interés"),"Contactar","")</f>
        <v/>
      </c>
      <c r="P124" s="16" t="n"/>
    </row>
    <row r="125">
      <c r="A125" s="15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5" t="n"/>
      <c r="M125" s="17" t="n"/>
      <c r="N125" s="15" t="n"/>
      <c r="O125" s="14">
        <f>IF(AND(L125&lt;&gt;"",L125&lt;=TODAY(),J125&lt;&gt;"Sin interés"),"Contactar","")</f>
        <v/>
      </c>
      <c r="P125" s="16" t="n"/>
    </row>
    <row r="126">
      <c r="A126" s="15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5" t="n"/>
      <c r="M126" s="17" t="n"/>
      <c r="N126" s="15" t="n"/>
      <c r="O126" s="14">
        <f>IF(AND(L126&lt;&gt;"",L126&lt;=TODAY(),J126&lt;&gt;"Sin interés"),"Contactar","")</f>
        <v/>
      </c>
      <c r="P126" s="16" t="n"/>
    </row>
    <row r="127">
      <c r="A127" s="15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5" t="n"/>
      <c r="M127" s="17" t="n"/>
      <c r="N127" s="15" t="n"/>
      <c r="O127" s="14">
        <f>IF(AND(L127&lt;&gt;"",L127&lt;=TODAY(),J127&lt;&gt;"Sin interés"),"Contactar","")</f>
        <v/>
      </c>
      <c r="P127" s="16" t="n"/>
    </row>
    <row r="128">
      <c r="A128" s="15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5" t="n"/>
      <c r="M128" s="17" t="n"/>
      <c r="N128" s="15" t="n"/>
      <c r="O128" s="14">
        <f>IF(AND(L128&lt;&gt;"",L128&lt;=TODAY(),J128&lt;&gt;"Sin interés"),"Contactar","")</f>
        <v/>
      </c>
      <c r="P128" s="16" t="n"/>
    </row>
    <row r="129">
      <c r="A129" s="15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5" t="n"/>
      <c r="M129" s="17" t="n"/>
      <c r="N129" s="15" t="n"/>
      <c r="O129" s="14">
        <f>IF(AND(L129&lt;&gt;"",L129&lt;=TODAY(),J129&lt;&gt;"Sin interés"),"Contactar","")</f>
        <v/>
      </c>
      <c r="P129" s="16" t="n"/>
    </row>
    <row r="130">
      <c r="A130" s="15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5" t="n"/>
      <c r="M130" s="17" t="n"/>
      <c r="N130" s="15" t="n"/>
      <c r="O130" s="14">
        <f>IF(AND(L130&lt;&gt;"",L130&lt;=TODAY(),J130&lt;&gt;"Sin interés"),"Contactar","")</f>
        <v/>
      </c>
      <c r="P130" s="16" t="n"/>
    </row>
    <row r="131">
      <c r="A131" s="15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5" t="n"/>
      <c r="M131" s="17" t="n"/>
      <c r="N131" s="15" t="n"/>
      <c r="O131" s="14">
        <f>IF(AND(L131&lt;&gt;"",L131&lt;=TODAY(),J131&lt;&gt;"Sin interés"),"Contactar","")</f>
        <v/>
      </c>
      <c r="P131" s="16" t="n"/>
    </row>
    <row r="132">
      <c r="A132" s="15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5" t="n"/>
      <c r="M132" s="17" t="n"/>
      <c r="N132" s="15" t="n"/>
      <c r="O132" s="14">
        <f>IF(AND(L132&lt;&gt;"",L132&lt;=TODAY(),J132&lt;&gt;"Sin interés"),"Contactar","")</f>
        <v/>
      </c>
      <c r="P132" s="16" t="n"/>
    </row>
    <row r="133">
      <c r="A133" s="15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5" t="n"/>
      <c r="M133" s="17" t="n"/>
      <c r="N133" s="15" t="n"/>
      <c r="O133" s="14">
        <f>IF(AND(L133&lt;&gt;"",L133&lt;=TODAY(),J133&lt;&gt;"Sin interés"),"Contactar","")</f>
        <v/>
      </c>
      <c r="P133" s="16" t="n"/>
    </row>
    <row r="134">
      <c r="A134" s="15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5" t="n"/>
      <c r="M134" s="17" t="n"/>
      <c r="N134" s="15" t="n"/>
      <c r="O134" s="14">
        <f>IF(AND(L134&lt;&gt;"",L134&lt;=TODAY(),J134&lt;&gt;"Sin interés"),"Contactar","")</f>
        <v/>
      </c>
      <c r="P134" s="16" t="n"/>
    </row>
    <row r="135">
      <c r="A135" s="15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5" t="n"/>
      <c r="M135" s="17" t="n"/>
      <c r="N135" s="15" t="n"/>
      <c r="O135" s="14">
        <f>IF(AND(L135&lt;&gt;"",L135&lt;=TODAY(),J135&lt;&gt;"Sin interés"),"Contactar","")</f>
        <v/>
      </c>
      <c r="P135" s="16" t="n"/>
    </row>
    <row r="136">
      <c r="A136" s="15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5" t="n"/>
      <c r="M136" s="17" t="n"/>
      <c r="N136" s="15" t="n"/>
      <c r="O136" s="14">
        <f>IF(AND(L136&lt;&gt;"",L136&lt;=TODAY(),J136&lt;&gt;"Sin interés"),"Contactar","")</f>
        <v/>
      </c>
      <c r="P136" s="16" t="n"/>
    </row>
    <row r="137">
      <c r="A137" s="15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5" t="n"/>
      <c r="M137" s="17" t="n"/>
      <c r="N137" s="15" t="n"/>
      <c r="O137" s="14">
        <f>IF(AND(L137&lt;&gt;"",L137&lt;=TODAY(),J137&lt;&gt;"Sin interés"),"Contactar","")</f>
        <v/>
      </c>
      <c r="P137" s="16" t="n"/>
    </row>
    <row r="138">
      <c r="A138" s="15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5" t="n"/>
      <c r="M138" s="17" t="n"/>
      <c r="N138" s="15" t="n"/>
      <c r="O138" s="14">
        <f>IF(AND(L138&lt;&gt;"",L138&lt;=TODAY(),J138&lt;&gt;"Sin interés"),"Contactar","")</f>
        <v/>
      </c>
      <c r="P138" s="16" t="n"/>
    </row>
    <row r="139">
      <c r="A139" s="15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5" t="n"/>
      <c r="M139" s="17" t="n"/>
      <c r="N139" s="15" t="n"/>
      <c r="O139" s="14">
        <f>IF(AND(L139&lt;&gt;"",L139&lt;=TODAY(),J139&lt;&gt;"Sin interés"),"Contactar","")</f>
        <v/>
      </c>
      <c r="P139" s="16" t="n"/>
    </row>
    <row r="140">
      <c r="A140" s="15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5" t="n"/>
      <c r="M140" s="17" t="n"/>
      <c r="N140" s="15" t="n"/>
      <c r="O140" s="14">
        <f>IF(AND(L140&lt;&gt;"",L140&lt;=TODAY(),J140&lt;&gt;"Sin interés"),"Contactar","")</f>
        <v/>
      </c>
      <c r="P140" s="16" t="n"/>
    </row>
    <row r="141">
      <c r="A141" s="15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5" t="n"/>
      <c r="M141" s="17" t="n"/>
      <c r="N141" s="15" t="n"/>
      <c r="O141" s="14">
        <f>IF(AND(L141&lt;&gt;"",L141&lt;=TODAY(),J141&lt;&gt;"Sin interés"),"Contactar","")</f>
        <v/>
      </c>
      <c r="P141" s="16" t="n"/>
    </row>
    <row r="142">
      <c r="A142" s="15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5" t="n"/>
      <c r="M142" s="17" t="n"/>
      <c r="N142" s="15" t="n"/>
      <c r="O142" s="14">
        <f>IF(AND(L142&lt;&gt;"",L142&lt;=TODAY(),J142&lt;&gt;"Sin interés"),"Contactar","")</f>
        <v/>
      </c>
      <c r="P142" s="16" t="n"/>
    </row>
    <row r="143">
      <c r="A143" s="15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5" t="n"/>
      <c r="M143" s="17" t="n"/>
      <c r="N143" s="15" t="n"/>
      <c r="O143" s="14">
        <f>IF(AND(L143&lt;&gt;"",L143&lt;=TODAY(),J143&lt;&gt;"Sin interés"),"Contactar","")</f>
        <v/>
      </c>
      <c r="P143" s="16" t="n"/>
    </row>
    <row r="144">
      <c r="A144" s="15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5" t="n"/>
      <c r="M144" s="17" t="n"/>
      <c r="N144" s="15" t="n"/>
      <c r="O144" s="14">
        <f>IF(AND(L144&lt;&gt;"",L144&lt;=TODAY(),J144&lt;&gt;"Sin interés"),"Contactar","")</f>
        <v/>
      </c>
      <c r="P144" s="16" t="n"/>
    </row>
    <row r="145">
      <c r="A145" s="15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5" t="n"/>
      <c r="M145" s="17" t="n"/>
      <c r="N145" s="15" t="n"/>
      <c r="O145" s="14">
        <f>IF(AND(L145&lt;&gt;"",L145&lt;=TODAY(),J145&lt;&gt;"Sin interés"),"Contactar","")</f>
        <v/>
      </c>
      <c r="P145" s="16" t="n"/>
    </row>
    <row r="146">
      <c r="A146" s="15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5" t="n"/>
      <c r="M146" s="17" t="n"/>
      <c r="N146" s="15" t="n"/>
      <c r="O146" s="14">
        <f>IF(AND(L146&lt;&gt;"",L146&lt;=TODAY(),J146&lt;&gt;"Sin interés"),"Contactar","")</f>
        <v/>
      </c>
      <c r="P146" s="16" t="n"/>
    </row>
    <row r="147">
      <c r="A147" s="15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5" t="n"/>
      <c r="M147" s="17" t="n"/>
      <c r="N147" s="15" t="n"/>
      <c r="O147" s="14">
        <f>IF(AND(L147&lt;&gt;"",L147&lt;=TODAY(),J147&lt;&gt;"Sin interés"),"Contactar","")</f>
        <v/>
      </c>
      <c r="P147" s="16" t="n"/>
    </row>
    <row r="148">
      <c r="A148" s="15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5" t="n"/>
      <c r="M148" s="17" t="n"/>
      <c r="N148" s="15" t="n"/>
      <c r="O148" s="14">
        <f>IF(AND(L148&lt;&gt;"",L148&lt;=TODAY(),J148&lt;&gt;"Sin interés"),"Contactar","")</f>
        <v/>
      </c>
      <c r="P148" s="16" t="n"/>
    </row>
    <row r="149">
      <c r="A149" s="15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5" t="n"/>
      <c r="M149" s="17" t="n"/>
      <c r="N149" s="15" t="n"/>
      <c r="O149" s="14">
        <f>IF(AND(L149&lt;&gt;"",L149&lt;=TODAY(),J149&lt;&gt;"Sin interés"),"Contactar","")</f>
        <v/>
      </c>
      <c r="P149" s="16" t="n"/>
    </row>
    <row r="150">
      <c r="A150" s="15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5" t="n"/>
      <c r="M150" s="17" t="n"/>
      <c r="N150" s="15" t="n"/>
      <c r="O150" s="14">
        <f>IF(AND(L150&lt;&gt;"",L150&lt;=TODAY(),J150&lt;&gt;"Sin interés"),"Contactar","")</f>
        <v/>
      </c>
      <c r="P150" s="16" t="n"/>
    </row>
    <row r="151">
      <c r="A151" s="15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5" t="n"/>
      <c r="M151" s="17" t="n"/>
      <c r="N151" s="15" t="n"/>
      <c r="O151" s="14">
        <f>IF(AND(L151&lt;&gt;"",L151&lt;=TODAY(),J151&lt;&gt;"Sin interés"),"Contactar","")</f>
        <v/>
      </c>
      <c r="P151" s="16" t="n"/>
    </row>
    <row r="152">
      <c r="A152" s="15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5" t="n"/>
      <c r="M152" s="17" t="n"/>
      <c r="N152" s="15" t="n"/>
      <c r="O152" s="14">
        <f>IF(AND(L152&lt;&gt;"",L152&lt;=TODAY(),J152&lt;&gt;"Sin interés"),"Contactar","")</f>
        <v/>
      </c>
      <c r="P152" s="16" t="n"/>
    </row>
    <row r="153">
      <c r="A153" s="15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5" t="n"/>
      <c r="M153" s="17" t="n"/>
      <c r="N153" s="15" t="n"/>
      <c r="O153" s="14">
        <f>IF(AND(L153&lt;&gt;"",L153&lt;=TODAY(),J153&lt;&gt;"Sin interés"),"Contactar","")</f>
        <v/>
      </c>
      <c r="P153" s="16" t="n"/>
    </row>
    <row r="154">
      <c r="A154" s="15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5" t="n"/>
      <c r="M154" s="17" t="n"/>
      <c r="N154" s="15" t="n"/>
      <c r="O154" s="14">
        <f>IF(AND(L154&lt;&gt;"",L154&lt;=TODAY(),J154&lt;&gt;"Sin interés"),"Contactar","")</f>
        <v/>
      </c>
      <c r="P154" s="16" t="n"/>
    </row>
    <row r="155">
      <c r="A155" s="15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5" t="n"/>
      <c r="M155" s="17" t="n"/>
      <c r="N155" s="15" t="n"/>
      <c r="O155" s="14">
        <f>IF(AND(L155&lt;&gt;"",L155&lt;=TODAY(),J155&lt;&gt;"Sin interés"),"Contactar","")</f>
        <v/>
      </c>
      <c r="P155" s="16" t="n"/>
    </row>
    <row r="156">
      <c r="A156" s="15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5" t="n"/>
      <c r="M156" s="17" t="n"/>
      <c r="N156" s="15" t="n"/>
      <c r="O156" s="14">
        <f>IF(AND(L156&lt;&gt;"",L156&lt;=TODAY(),J156&lt;&gt;"Sin interés"),"Contactar","")</f>
        <v/>
      </c>
      <c r="P156" s="16" t="n"/>
    </row>
    <row r="157">
      <c r="A157" s="15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5" t="n"/>
      <c r="M157" s="17" t="n"/>
      <c r="N157" s="15" t="n"/>
      <c r="O157" s="14">
        <f>IF(AND(L157&lt;&gt;"",L157&lt;=TODAY(),J157&lt;&gt;"Sin interés"),"Contactar","")</f>
        <v/>
      </c>
      <c r="P157" s="16" t="n"/>
    </row>
    <row r="158">
      <c r="A158" s="15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5" t="n"/>
      <c r="M158" s="17" t="n"/>
      <c r="N158" s="15" t="n"/>
      <c r="O158" s="14">
        <f>IF(AND(L158&lt;&gt;"",L158&lt;=TODAY(),J158&lt;&gt;"Sin interés"),"Contactar","")</f>
        <v/>
      </c>
      <c r="P158" s="16" t="n"/>
    </row>
    <row r="159">
      <c r="A159" s="15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5" t="n"/>
      <c r="M159" s="17" t="n"/>
      <c r="N159" s="15" t="n"/>
      <c r="O159" s="14">
        <f>IF(AND(L159&lt;&gt;"",L159&lt;=TODAY(),J159&lt;&gt;"Sin interés"),"Contactar","")</f>
        <v/>
      </c>
      <c r="P159" s="16" t="n"/>
    </row>
    <row r="160">
      <c r="A160" s="15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5" t="n"/>
      <c r="M160" s="17" t="n"/>
      <c r="N160" s="15" t="n"/>
      <c r="O160" s="14">
        <f>IF(AND(L160&lt;&gt;"",L160&lt;=TODAY(),J160&lt;&gt;"Sin interés"),"Contactar","")</f>
        <v/>
      </c>
      <c r="P160" s="16" t="n"/>
    </row>
    <row r="161">
      <c r="A161" s="15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5" t="n"/>
      <c r="M161" s="17" t="n"/>
      <c r="N161" s="15" t="n"/>
      <c r="O161" s="14">
        <f>IF(AND(L161&lt;&gt;"",L161&lt;=TODAY(),J161&lt;&gt;"Sin interés"),"Contactar","")</f>
        <v/>
      </c>
      <c r="P161" s="16" t="n"/>
    </row>
    <row r="162">
      <c r="A162" s="15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5" t="n"/>
      <c r="M162" s="17" t="n"/>
      <c r="N162" s="15" t="n"/>
      <c r="O162" s="14">
        <f>IF(AND(L162&lt;&gt;"",L162&lt;=TODAY(),J162&lt;&gt;"Sin interés"),"Contactar","")</f>
        <v/>
      </c>
      <c r="P162" s="16" t="n"/>
    </row>
    <row r="163">
      <c r="A163" s="15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5" t="n"/>
      <c r="M163" s="17" t="n"/>
      <c r="N163" s="15" t="n"/>
      <c r="O163" s="14">
        <f>IF(AND(L163&lt;&gt;"",L163&lt;=TODAY(),J163&lt;&gt;"Sin interés"),"Contactar","")</f>
        <v/>
      </c>
      <c r="P163" s="16" t="n"/>
    </row>
    <row r="164">
      <c r="A164" s="15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5" t="n"/>
      <c r="M164" s="17" t="n"/>
      <c r="N164" s="15" t="n"/>
      <c r="O164" s="14">
        <f>IF(AND(L164&lt;&gt;"",L164&lt;=TODAY(),J164&lt;&gt;"Sin interés"),"Contactar","")</f>
        <v/>
      </c>
      <c r="P164" s="16" t="n"/>
    </row>
    <row r="165">
      <c r="A165" s="15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5" t="n"/>
      <c r="M165" s="17" t="n"/>
      <c r="N165" s="15" t="n"/>
      <c r="O165" s="14">
        <f>IF(AND(L165&lt;&gt;"",L165&lt;=TODAY(),J165&lt;&gt;"Sin interés"),"Contactar","")</f>
        <v/>
      </c>
      <c r="P165" s="16" t="n"/>
    </row>
    <row r="166">
      <c r="A166" s="15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5" t="n"/>
      <c r="M166" s="17" t="n"/>
      <c r="N166" s="15" t="n"/>
      <c r="O166" s="14">
        <f>IF(AND(L166&lt;&gt;"",L166&lt;=TODAY(),J166&lt;&gt;"Sin interés"),"Contactar","")</f>
        <v/>
      </c>
      <c r="P166" s="16" t="n"/>
    </row>
    <row r="167">
      <c r="A167" s="15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5" t="n"/>
      <c r="M167" s="17" t="n"/>
      <c r="N167" s="15" t="n"/>
      <c r="O167" s="14">
        <f>IF(AND(L167&lt;&gt;"",L167&lt;=TODAY(),J167&lt;&gt;"Sin interés"),"Contactar","")</f>
        <v/>
      </c>
      <c r="P167" s="16" t="n"/>
    </row>
    <row r="168">
      <c r="A168" s="15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5" t="n"/>
      <c r="M168" s="17" t="n"/>
      <c r="N168" s="15" t="n"/>
      <c r="O168" s="14">
        <f>IF(AND(L168&lt;&gt;"",L168&lt;=TODAY(),J168&lt;&gt;"Sin interés"),"Contactar","")</f>
        <v/>
      </c>
      <c r="P168" s="16" t="n"/>
    </row>
    <row r="169">
      <c r="A169" s="15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5" t="n"/>
      <c r="M169" s="17" t="n"/>
      <c r="N169" s="15" t="n"/>
      <c r="O169" s="14">
        <f>IF(AND(L169&lt;&gt;"",L169&lt;=TODAY(),J169&lt;&gt;"Sin interés"),"Contactar","")</f>
        <v/>
      </c>
      <c r="P169" s="16" t="n"/>
    </row>
    <row r="170">
      <c r="A170" s="15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5" t="n"/>
      <c r="M170" s="17" t="n"/>
      <c r="N170" s="15" t="n"/>
      <c r="O170" s="14">
        <f>IF(AND(L170&lt;&gt;"",L170&lt;=TODAY(),J170&lt;&gt;"Sin interés"),"Contactar","")</f>
        <v/>
      </c>
      <c r="P170" s="16" t="n"/>
    </row>
    <row r="171">
      <c r="A171" s="15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5" t="n"/>
      <c r="M171" s="17" t="n"/>
      <c r="N171" s="15" t="n"/>
      <c r="O171" s="14">
        <f>IF(AND(L171&lt;&gt;"",L171&lt;=TODAY(),J171&lt;&gt;"Sin interés"),"Contactar","")</f>
        <v/>
      </c>
      <c r="P171" s="16" t="n"/>
    </row>
    <row r="172">
      <c r="A172" s="15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5" t="n"/>
      <c r="M172" s="17" t="n"/>
      <c r="N172" s="15" t="n"/>
      <c r="O172" s="14">
        <f>IF(AND(L172&lt;&gt;"",L172&lt;=TODAY(),J172&lt;&gt;"Sin interés"),"Contactar","")</f>
        <v/>
      </c>
      <c r="P172" s="16" t="n"/>
    </row>
    <row r="173">
      <c r="A173" s="15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5" t="n"/>
      <c r="M173" s="17" t="n"/>
      <c r="N173" s="15" t="n"/>
      <c r="O173" s="14">
        <f>IF(AND(L173&lt;&gt;"",L173&lt;=TODAY(),J173&lt;&gt;"Sin interés"),"Contactar","")</f>
        <v/>
      </c>
      <c r="P173" s="16" t="n"/>
    </row>
    <row r="174">
      <c r="A174" s="15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5" t="n"/>
      <c r="M174" s="17" t="n"/>
      <c r="N174" s="15" t="n"/>
      <c r="O174" s="14">
        <f>IF(AND(L174&lt;&gt;"",L174&lt;=TODAY(),J174&lt;&gt;"Sin interés"),"Contactar","")</f>
        <v/>
      </c>
      <c r="P174" s="16" t="n"/>
    </row>
    <row r="175">
      <c r="A175" s="15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5" t="n"/>
      <c r="M175" s="17" t="n"/>
      <c r="N175" s="15" t="n"/>
      <c r="O175" s="14">
        <f>IF(AND(L175&lt;&gt;"",L175&lt;=TODAY(),J175&lt;&gt;"Sin interés"),"Contactar","")</f>
        <v/>
      </c>
      <c r="P175" s="16" t="n"/>
    </row>
    <row r="176">
      <c r="A176" s="15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5" t="n"/>
      <c r="M176" s="17" t="n"/>
      <c r="N176" s="15" t="n"/>
      <c r="O176" s="14">
        <f>IF(AND(L176&lt;&gt;"",L176&lt;=TODAY(),J176&lt;&gt;"Sin interés"),"Contactar","")</f>
        <v/>
      </c>
      <c r="P176" s="16" t="n"/>
    </row>
    <row r="177">
      <c r="A177" s="15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5" t="n"/>
      <c r="M177" s="17" t="n"/>
      <c r="N177" s="15" t="n"/>
      <c r="O177" s="14">
        <f>IF(AND(L177&lt;&gt;"",L177&lt;=TODAY(),J177&lt;&gt;"Sin interés"),"Contactar","")</f>
        <v/>
      </c>
      <c r="P177" s="16" t="n"/>
    </row>
    <row r="178">
      <c r="A178" s="15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5" t="n"/>
      <c r="M178" s="17" t="n"/>
      <c r="N178" s="15" t="n"/>
      <c r="O178" s="14">
        <f>IF(AND(L178&lt;&gt;"",L178&lt;=TODAY(),J178&lt;&gt;"Sin interés"),"Contactar","")</f>
        <v/>
      </c>
      <c r="P178" s="16" t="n"/>
    </row>
    <row r="179">
      <c r="A179" s="15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5" t="n"/>
      <c r="M179" s="17" t="n"/>
      <c r="N179" s="15" t="n"/>
      <c r="O179" s="14">
        <f>IF(AND(L179&lt;&gt;"",L179&lt;=TODAY(),J179&lt;&gt;"Sin interés"),"Contactar","")</f>
        <v/>
      </c>
      <c r="P179" s="16" t="n"/>
    </row>
    <row r="180">
      <c r="A180" s="15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5" t="n"/>
      <c r="M180" s="17" t="n"/>
      <c r="N180" s="15" t="n"/>
      <c r="O180" s="14">
        <f>IF(AND(L180&lt;&gt;"",L180&lt;=TODAY(),J180&lt;&gt;"Sin interés"),"Contactar","")</f>
        <v/>
      </c>
      <c r="P180" s="16" t="n"/>
    </row>
    <row r="181">
      <c r="A181" s="15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5" t="n"/>
      <c r="M181" s="17" t="n"/>
      <c r="N181" s="15" t="n"/>
      <c r="O181" s="14">
        <f>IF(AND(L181&lt;&gt;"",L181&lt;=TODAY(),J181&lt;&gt;"Sin interés"),"Contactar","")</f>
        <v/>
      </c>
      <c r="P181" s="16" t="n"/>
    </row>
    <row r="182">
      <c r="A182" s="15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5" t="n"/>
      <c r="M182" s="17" t="n"/>
      <c r="N182" s="15" t="n"/>
      <c r="O182" s="14">
        <f>IF(AND(L182&lt;&gt;"",L182&lt;=TODAY(),J182&lt;&gt;"Sin interés"),"Contactar","")</f>
        <v/>
      </c>
      <c r="P182" s="16" t="n"/>
    </row>
    <row r="183">
      <c r="A183" s="15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5" t="n"/>
      <c r="M183" s="17" t="n"/>
      <c r="N183" s="15" t="n"/>
      <c r="O183" s="14">
        <f>IF(AND(L183&lt;&gt;"",L183&lt;=TODAY(),J183&lt;&gt;"Sin interés"),"Contactar","")</f>
        <v/>
      </c>
      <c r="P183" s="16" t="n"/>
    </row>
    <row r="184">
      <c r="A184" s="15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5" t="n"/>
      <c r="M184" s="17" t="n"/>
      <c r="N184" s="15" t="n"/>
      <c r="O184" s="14">
        <f>IF(AND(L184&lt;&gt;"",L184&lt;=TODAY(),J184&lt;&gt;"Sin interés"),"Contactar","")</f>
        <v/>
      </c>
      <c r="P184" s="16" t="n"/>
    </row>
    <row r="185">
      <c r="A185" s="15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5" t="n"/>
      <c r="M185" s="17" t="n"/>
      <c r="N185" s="15" t="n"/>
      <c r="O185" s="14">
        <f>IF(AND(L185&lt;&gt;"",L185&lt;=TODAY(),J185&lt;&gt;"Sin interés"),"Contactar","")</f>
        <v/>
      </c>
      <c r="P185" s="16" t="n"/>
    </row>
    <row r="186">
      <c r="A186" s="15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5" t="n"/>
      <c r="M186" s="17" t="n"/>
      <c r="N186" s="15" t="n"/>
      <c r="O186" s="14">
        <f>IF(AND(L186&lt;&gt;"",L186&lt;=TODAY(),J186&lt;&gt;"Sin interés"),"Contactar","")</f>
        <v/>
      </c>
      <c r="P186" s="16" t="n"/>
    </row>
    <row r="187">
      <c r="A187" s="15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5" t="n"/>
      <c r="M187" s="17" t="n"/>
      <c r="N187" s="15" t="n"/>
      <c r="O187" s="14">
        <f>IF(AND(L187&lt;&gt;"",L187&lt;=TODAY(),J187&lt;&gt;"Sin interés"),"Contactar","")</f>
        <v/>
      </c>
      <c r="P187" s="16" t="n"/>
    </row>
    <row r="188">
      <c r="A188" s="15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5" t="n"/>
      <c r="M188" s="17" t="n"/>
      <c r="N188" s="15" t="n"/>
      <c r="O188" s="14">
        <f>IF(AND(L188&lt;&gt;"",L188&lt;=TODAY(),J188&lt;&gt;"Sin interés"),"Contactar","")</f>
        <v/>
      </c>
      <c r="P188" s="16" t="n"/>
    </row>
    <row r="189">
      <c r="A189" s="15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5" t="n"/>
      <c r="M189" s="17" t="n"/>
      <c r="N189" s="15" t="n"/>
      <c r="O189" s="14">
        <f>IF(AND(L189&lt;&gt;"",L189&lt;=TODAY(),J189&lt;&gt;"Sin interés"),"Contactar","")</f>
        <v/>
      </c>
      <c r="P189" s="16" t="n"/>
    </row>
    <row r="190">
      <c r="A190" s="15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5" t="n"/>
      <c r="M190" s="17" t="n"/>
      <c r="N190" s="15" t="n"/>
      <c r="O190" s="14">
        <f>IF(AND(L190&lt;&gt;"",L190&lt;=TODAY(),J190&lt;&gt;"Sin interés"),"Contactar","")</f>
        <v/>
      </c>
      <c r="P190" s="16" t="n"/>
    </row>
    <row r="191">
      <c r="A191" s="15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5" t="n"/>
      <c r="M191" s="17" t="n"/>
      <c r="N191" s="15" t="n"/>
      <c r="O191" s="14">
        <f>IF(AND(L191&lt;&gt;"",L191&lt;=TODAY(),J191&lt;&gt;"Sin interés"),"Contactar","")</f>
        <v/>
      </c>
      <c r="P191" s="16" t="n"/>
    </row>
    <row r="192">
      <c r="A192" s="15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5" t="n"/>
      <c r="M192" s="17" t="n"/>
      <c r="N192" s="15" t="n"/>
      <c r="O192" s="14">
        <f>IF(AND(L192&lt;&gt;"",L192&lt;=TODAY(),J192&lt;&gt;"Sin interés"),"Contactar","")</f>
        <v/>
      </c>
      <c r="P192" s="16" t="n"/>
    </row>
    <row r="193">
      <c r="A193" s="15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5" t="n"/>
      <c r="M193" s="17" t="n"/>
      <c r="N193" s="15" t="n"/>
      <c r="O193" s="14">
        <f>IF(AND(L193&lt;&gt;"",L193&lt;=TODAY(),J193&lt;&gt;"Sin interés"),"Contactar","")</f>
        <v/>
      </c>
      <c r="P193" s="16" t="n"/>
    </row>
    <row r="194">
      <c r="A194" s="15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5" t="n"/>
      <c r="M194" s="17" t="n"/>
      <c r="N194" s="15" t="n"/>
      <c r="O194" s="14">
        <f>IF(AND(L194&lt;&gt;"",L194&lt;=TODAY(),J194&lt;&gt;"Sin interés"),"Contactar","")</f>
        <v/>
      </c>
      <c r="P194" s="16" t="n"/>
    </row>
    <row r="195">
      <c r="A195" s="15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5" t="n"/>
      <c r="M195" s="17" t="n"/>
      <c r="N195" s="15" t="n"/>
      <c r="O195" s="14">
        <f>IF(AND(L195&lt;&gt;"",L195&lt;=TODAY(),J195&lt;&gt;"Sin interés"),"Contactar","")</f>
        <v/>
      </c>
      <c r="P195" s="16" t="n"/>
    </row>
    <row r="196">
      <c r="A196" s="15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5" t="n"/>
      <c r="M196" s="17" t="n"/>
      <c r="N196" s="15" t="n"/>
      <c r="O196" s="14">
        <f>IF(AND(L196&lt;&gt;"",L196&lt;=TODAY(),J196&lt;&gt;"Sin interés"),"Contactar","")</f>
        <v/>
      </c>
      <c r="P196" s="16" t="n"/>
    </row>
    <row r="197">
      <c r="A197" s="15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5" t="n"/>
      <c r="M197" s="17" t="n"/>
      <c r="N197" s="15" t="n"/>
      <c r="O197" s="14">
        <f>IF(AND(L197&lt;&gt;"",L197&lt;=TODAY(),J197&lt;&gt;"Sin interés"),"Contactar","")</f>
        <v/>
      </c>
      <c r="P197" s="16" t="n"/>
    </row>
    <row r="198">
      <c r="A198" s="15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5" t="n"/>
      <c r="M198" s="17" t="n"/>
      <c r="N198" s="15" t="n"/>
      <c r="O198" s="14">
        <f>IF(AND(L198&lt;&gt;"",L198&lt;=TODAY(),J198&lt;&gt;"Sin interés"),"Contactar","")</f>
        <v/>
      </c>
      <c r="P198" s="16" t="n"/>
    </row>
    <row r="199">
      <c r="A199" s="15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5" t="n"/>
      <c r="M199" s="17" t="n"/>
      <c r="N199" s="15" t="n"/>
      <c r="O199" s="14">
        <f>IF(AND(L199&lt;&gt;"",L199&lt;=TODAY(),J199&lt;&gt;"Sin interés"),"Contactar","")</f>
        <v/>
      </c>
      <c r="P199" s="16" t="n"/>
    </row>
    <row r="200">
      <c r="A200" s="15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5" t="n"/>
      <c r="M200" s="17" t="n"/>
      <c r="N200" s="15" t="n"/>
      <c r="O200" s="14">
        <f>IF(AND(L200&lt;&gt;"",L200&lt;=TODAY(),J200&lt;&gt;"Sin interés"),"Contactar","")</f>
        <v/>
      </c>
      <c r="P200" s="16" t="n"/>
    </row>
    <row r="201">
      <c r="A201" s="15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5" t="n"/>
      <c r="M201" s="17" t="n"/>
      <c r="N201" s="15" t="n"/>
      <c r="O201" s="14">
        <f>IF(AND(L201&lt;&gt;"",L201&lt;=TODAY(),J201&lt;&gt;"Sin interés"),"Contactar","")</f>
        <v/>
      </c>
      <c r="P201" s="16" t="n"/>
    </row>
    <row r="202">
      <c r="A202" s="15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5" t="n"/>
      <c r="M202" s="17" t="n"/>
      <c r="N202" s="15" t="n"/>
      <c r="O202" s="14">
        <f>IF(AND(L202&lt;&gt;"",L202&lt;=TODAY(),J202&lt;&gt;"Sin interés"),"Contactar","")</f>
        <v/>
      </c>
      <c r="P202" s="16" t="n"/>
    </row>
    <row r="203">
      <c r="A203" s="15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5" t="n"/>
      <c r="M203" s="17" t="n"/>
      <c r="N203" s="15" t="n"/>
      <c r="O203" s="14">
        <f>IF(AND(L203&lt;&gt;"",L203&lt;=TODAY(),J203&lt;&gt;"Sin interés"),"Contactar","")</f>
        <v/>
      </c>
      <c r="P203" s="16" t="n"/>
    </row>
    <row r="204">
      <c r="A204" s="15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5" t="n"/>
      <c r="M204" s="17" t="n"/>
      <c r="N204" s="15" t="n"/>
      <c r="O204" s="14">
        <f>IF(AND(L204&lt;&gt;"",L204&lt;=TODAY(),J204&lt;&gt;"Sin interés"),"Contactar","")</f>
        <v/>
      </c>
      <c r="P204" s="16" t="n"/>
    </row>
    <row r="205">
      <c r="A205" s="15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5" t="n"/>
      <c r="M205" s="17" t="n"/>
      <c r="N205" s="15" t="n"/>
      <c r="O205" s="14">
        <f>IF(AND(L205&lt;&gt;"",L205&lt;=TODAY(),J205&lt;&gt;"Sin interés"),"Contactar","")</f>
        <v/>
      </c>
      <c r="P205" s="16" t="n"/>
    </row>
    <row r="206">
      <c r="A206" s="15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5" t="n"/>
      <c r="M206" s="17" t="n"/>
      <c r="N206" s="15" t="n"/>
      <c r="O206" s="14">
        <f>IF(AND(L206&lt;&gt;"",L206&lt;=TODAY(),J206&lt;&gt;"Sin interés"),"Contactar","")</f>
        <v/>
      </c>
      <c r="P206" s="16" t="n"/>
    </row>
    <row r="207">
      <c r="A207" s="15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5" t="n"/>
      <c r="M207" s="17" t="n"/>
      <c r="N207" s="15" t="n"/>
      <c r="O207" s="14">
        <f>IF(AND(L207&lt;&gt;"",L207&lt;=TODAY(),J207&lt;&gt;"Sin interés"),"Contactar","")</f>
        <v/>
      </c>
      <c r="P207" s="16" t="n"/>
    </row>
    <row r="208">
      <c r="A208" s="15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5" t="n"/>
      <c r="M208" s="17" t="n"/>
      <c r="N208" s="15" t="n"/>
      <c r="O208" s="14">
        <f>IF(AND(L208&lt;&gt;"",L208&lt;=TODAY(),J208&lt;&gt;"Sin interés"),"Contactar","")</f>
        <v/>
      </c>
      <c r="P208" s="16" t="n"/>
    </row>
    <row r="209">
      <c r="A209" s="15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5" t="n"/>
      <c r="M209" s="17" t="n"/>
      <c r="N209" s="15" t="n"/>
      <c r="O209" s="14">
        <f>IF(AND(L209&lt;&gt;"",L209&lt;=TODAY(),J209&lt;&gt;"Sin interés"),"Contactar","")</f>
        <v/>
      </c>
      <c r="P209" s="16" t="n"/>
    </row>
    <row r="210">
      <c r="A210" s="15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5" t="n"/>
      <c r="M210" s="17" t="n"/>
      <c r="N210" s="15" t="n"/>
      <c r="O210" s="14">
        <f>IF(AND(L210&lt;&gt;"",L210&lt;=TODAY(),J210&lt;&gt;"Sin interés"),"Contactar","")</f>
        <v/>
      </c>
      <c r="P210" s="16" t="n"/>
    </row>
    <row r="211">
      <c r="A211" s="15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5" t="n"/>
      <c r="M211" s="17" t="n"/>
      <c r="N211" s="15" t="n"/>
      <c r="O211" s="14">
        <f>IF(AND(L211&lt;&gt;"",L211&lt;=TODAY(),J211&lt;&gt;"Sin interés"),"Contactar","")</f>
        <v/>
      </c>
      <c r="P211" s="16" t="n"/>
    </row>
    <row r="212">
      <c r="A212" s="15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5" t="n"/>
      <c r="M212" s="17" t="n"/>
      <c r="N212" s="15" t="n"/>
      <c r="O212" s="14">
        <f>IF(AND(L212&lt;&gt;"",L212&lt;=TODAY(),J212&lt;&gt;"Sin interés"),"Contactar","")</f>
        <v/>
      </c>
      <c r="P212" s="16" t="n"/>
    </row>
    <row r="213">
      <c r="A213" s="15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5" t="n"/>
      <c r="M213" s="17" t="n"/>
      <c r="N213" s="15" t="n"/>
      <c r="O213" s="14">
        <f>IF(AND(L213&lt;&gt;"",L213&lt;=TODAY(),J213&lt;&gt;"Sin interés"),"Contactar","")</f>
        <v/>
      </c>
      <c r="P213" s="16" t="n"/>
    </row>
    <row r="214">
      <c r="A214" s="15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5" t="n"/>
      <c r="M214" s="17" t="n"/>
      <c r="N214" s="15" t="n"/>
      <c r="O214" s="14">
        <f>IF(AND(L214&lt;&gt;"",L214&lt;=TODAY(),J214&lt;&gt;"Sin interés"),"Contactar","")</f>
        <v/>
      </c>
      <c r="P214" s="16" t="n"/>
    </row>
    <row r="215">
      <c r="A215" s="15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5" t="n"/>
      <c r="M215" s="17" t="n"/>
      <c r="N215" s="15" t="n"/>
      <c r="O215" s="14">
        <f>IF(AND(L215&lt;&gt;"",L215&lt;=TODAY(),J215&lt;&gt;"Sin interés"),"Contactar","")</f>
        <v/>
      </c>
      <c r="P215" s="16" t="n"/>
    </row>
    <row r="216">
      <c r="A216" s="15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5" t="n"/>
      <c r="M216" s="17" t="n"/>
      <c r="N216" s="15" t="n"/>
      <c r="O216" s="14">
        <f>IF(AND(L216&lt;&gt;"",L216&lt;=TODAY(),J216&lt;&gt;"Sin interés"),"Contactar","")</f>
        <v/>
      </c>
      <c r="P216" s="16" t="n"/>
    </row>
    <row r="217">
      <c r="A217" s="15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5" t="n"/>
      <c r="M217" s="17" t="n"/>
      <c r="N217" s="15" t="n"/>
      <c r="O217" s="14">
        <f>IF(AND(L217&lt;&gt;"",L217&lt;=TODAY(),J217&lt;&gt;"Sin interés"),"Contactar","")</f>
        <v/>
      </c>
      <c r="P217" s="16" t="n"/>
    </row>
    <row r="218">
      <c r="A218" s="15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5" t="n"/>
      <c r="M218" s="17" t="n"/>
      <c r="N218" s="15" t="n"/>
      <c r="O218" s="14">
        <f>IF(AND(L218&lt;&gt;"",L218&lt;=TODAY(),J218&lt;&gt;"Sin interés"),"Contactar","")</f>
        <v/>
      </c>
      <c r="P218" s="16" t="n"/>
    </row>
    <row r="219">
      <c r="A219" s="15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5" t="n"/>
      <c r="M219" s="17" t="n"/>
      <c r="N219" s="15" t="n"/>
      <c r="O219" s="14">
        <f>IF(AND(L219&lt;&gt;"",L219&lt;=TODAY(),J219&lt;&gt;"Sin interés"),"Contactar","")</f>
        <v/>
      </c>
      <c r="P219" s="16" t="n"/>
    </row>
    <row r="220">
      <c r="A220" s="15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5" t="n"/>
      <c r="M220" s="17" t="n"/>
      <c r="N220" s="15" t="n"/>
      <c r="O220" s="14">
        <f>IF(AND(L220&lt;&gt;"",L220&lt;=TODAY(),J220&lt;&gt;"Sin interés"),"Contactar","")</f>
        <v/>
      </c>
      <c r="P220" s="16" t="n"/>
    </row>
    <row r="221">
      <c r="A221" s="15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5" t="n"/>
      <c r="M221" s="17" t="n"/>
      <c r="N221" s="15" t="n"/>
      <c r="O221" s="14">
        <f>IF(AND(L221&lt;&gt;"",L221&lt;=TODAY(),J221&lt;&gt;"Sin interés"),"Contactar","")</f>
        <v/>
      </c>
      <c r="P221" s="16" t="n"/>
    </row>
    <row r="222">
      <c r="A222" s="15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5" t="n"/>
      <c r="M222" s="17" t="n"/>
      <c r="N222" s="15" t="n"/>
      <c r="O222" s="14">
        <f>IF(AND(L222&lt;&gt;"",L222&lt;=TODAY(),J222&lt;&gt;"Sin interés"),"Contactar","")</f>
        <v/>
      </c>
      <c r="P222" s="16" t="n"/>
    </row>
    <row r="223">
      <c r="A223" s="15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5" t="n"/>
      <c r="M223" s="17" t="n"/>
      <c r="N223" s="15" t="n"/>
      <c r="O223" s="14">
        <f>IF(AND(L223&lt;&gt;"",L223&lt;=TODAY(),J223&lt;&gt;"Sin interés"),"Contactar","")</f>
        <v/>
      </c>
      <c r="P223" s="16" t="n"/>
    </row>
    <row r="224">
      <c r="A224" s="15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5" t="n"/>
      <c r="M224" s="17" t="n"/>
      <c r="N224" s="15" t="n"/>
      <c r="O224" s="14">
        <f>IF(AND(L224&lt;&gt;"",L224&lt;=TODAY(),J224&lt;&gt;"Sin interés"),"Contactar","")</f>
        <v/>
      </c>
      <c r="P224" s="16" t="n"/>
    </row>
    <row r="225">
      <c r="A225" s="15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5" t="n"/>
      <c r="M225" s="17" t="n"/>
      <c r="N225" s="15" t="n"/>
      <c r="O225" s="14">
        <f>IF(AND(L225&lt;&gt;"",L225&lt;=TODAY(),J225&lt;&gt;"Sin interés"),"Contactar","")</f>
        <v/>
      </c>
      <c r="P225" s="16" t="n"/>
    </row>
    <row r="226">
      <c r="A226" s="15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5" t="n"/>
      <c r="M226" s="17" t="n"/>
      <c r="N226" s="15" t="n"/>
      <c r="O226" s="14">
        <f>IF(AND(L226&lt;&gt;"",L226&lt;=TODAY(),J226&lt;&gt;"Sin interés"),"Contactar","")</f>
        <v/>
      </c>
      <c r="P226" s="16" t="n"/>
    </row>
    <row r="227">
      <c r="A227" s="15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5" t="n"/>
      <c r="M227" s="17" t="n"/>
      <c r="N227" s="15" t="n"/>
      <c r="O227" s="14">
        <f>IF(AND(L227&lt;&gt;"",L227&lt;=TODAY(),J227&lt;&gt;"Sin interés"),"Contactar","")</f>
        <v/>
      </c>
      <c r="P227" s="16" t="n"/>
    </row>
    <row r="228">
      <c r="A228" s="15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5" t="n"/>
      <c r="M228" s="17" t="n"/>
      <c r="N228" s="15" t="n"/>
      <c r="O228" s="14">
        <f>IF(AND(L228&lt;&gt;"",L228&lt;=TODAY(),J228&lt;&gt;"Sin interés"),"Contactar","")</f>
        <v/>
      </c>
      <c r="P228" s="16" t="n"/>
    </row>
    <row r="229">
      <c r="A229" s="15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5" t="n"/>
      <c r="M229" s="17" t="n"/>
      <c r="N229" s="15" t="n"/>
      <c r="O229" s="14">
        <f>IF(AND(L229&lt;&gt;"",L229&lt;=TODAY(),J229&lt;&gt;"Sin interés"),"Contactar","")</f>
        <v/>
      </c>
      <c r="P229" s="16" t="n"/>
    </row>
    <row r="230">
      <c r="A230" s="15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5" t="n"/>
      <c r="M230" s="17" t="n"/>
      <c r="N230" s="15" t="n"/>
      <c r="O230" s="14">
        <f>IF(AND(L230&lt;&gt;"",L230&lt;=TODAY(),J230&lt;&gt;"Sin interés"),"Contactar","")</f>
        <v/>
      </c>
      <c r="P230" s="16" t="n"/>
    </row>
    <row r="231">
      <c r="A231" s="15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5" t="n"/>
      <c r="M231" s="17" t="n"/>
      <c r="N231" s="15" t="n"/>
      <c r="O231" s="14">
        <f>IF(AND(L231&lt;&gt;"",L231&lt;=TODAY(),J231&lt;&gt;"Sin interés"),"Contactar","")</f>
        <v/>
      </c>
      <c r="P231" s="16" t="n"/>
    </row>
    <row r="232">
      <c r="A232" s="15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5" t="n"/>
      <c r="M232" s="17" t="n"/>
      <c r="N232" s="15" t="n"/>
      <c r="O232" s="14">
        <f>IF(AND(L232&lt;&gt;"",L232&lt;=TODAY(),J232&lt;&gt;"Sin interés"),"Contactar","")</f>
        <v/>
      </c>
      <c r="P232" s="16" t="n"/>
    </row>
    <row r="233">
      <c r="A233" s="15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5" t="n"/>
      <c r="M233" s="17" t="n"/>
      <c r="N233" s="15" t="n"/>
      <c r="O233" s="14">
        <f>IF(AND(L233&lt;&gt;"",L233&lt;=TODAY(),J233&lt;&gt;"Sin interés"),"Contactar","")</f>
        <v/>
      </c>
      <c r="P233" s="16" t="n"/>
    </row>
    <row r="234">
      <c r="A234" s="15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5" t="n"/>
      <c r="M234" s="17" t="n"/>
      <c r="N234" s="15" t="n"/>
      <c r="O234" s="14">
        <f>IF(AND(L234&lt;&gt;"",L234&lt;=TODAY(),J234&lt;&gt;"Sin interés"),"Contactar","")</f>
        <v/>
      </c>
      <c r="P234" s="16" t="n"/>
    </row>
    <row r="235">
      <c r="A235" s="15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5" t="n"/>
      <c r="M235" s="17" t="n"/>
      <c r="N235" s="15" t="n"/>
      <c r="O235" s="14">
        <f>IF(AND(L235&lt;&gt;"",L235&lt;=TODAY(),J235&lt;&gt;"Sin interés"),"Contactar","")</f>
        <v/>
      </c>
      <c r="P235" s="16" t="n"/>
    </row>
    <row r="236">
      <c r="A236" s="15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5" t="n"/>
      <c r="M236" s="17" t="n"/>
      <c r="N236" s="15" t="n"/>
      <c r="O236" s="14">
        <f>IF(AND(L236&lt;&gt;"",L236&lt;=TODAY(),J236&lt;&gt;"Sin interés"),"Contactar","")</f>
        <v/>
      </c>
      <c r="P236" s="16" t="n"/>
    </row>
    <row r="237">
      <c r="A237" s="15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5" t="n"/>
      <c r="M237" s="17" t="n"/>
      <c r="N237" s="15" t="n"/>
      <c r="O237" s="14">
        <f>IF(AND(L237&lt;&gt;"",L237&lt;=TODAY(),J237&lt;&gt;"Sin interés"),"Contactar","")</f>
        <v/>
      </c>
      <c r="P237" s="16" t="n"/>
    </row>
    <row r="238">
      <c r="A238" s="15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5" t="n"/>
      <c r="M238" s="17" t="n"/>
      <c r="N238" s="15" t="n"/>
      <c r="O238" s="14">
        <f>IF(AND(L238&lt;&gt;"",L238&lt;=TODAY(),J238&lt;&gt;"Sin interés"),"Contactar","")</f>
        <v/>
      </c>
      <c r="P238" s="16" t="n"/>
    </row>
    <row r="239">
      <c r="A239" s="15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5" t="n"/>
      <c r="M239" s="17" t="n"/>
      <c r="N239" s="15" t="n"/>
      <c r="O239" s="14">
        <f>IF(AND(L239&lt;&gt;"",L239&lt;=TODAY(),J239&lt;&gt;"Sin interés"),"Contactar","")</f>
        <v/>
      </c>
      <c r="P239" s="16" t="n"/>
    </row>
    <row r="240">
      <c r="A240" s="15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5" t="n"/>
      <c r="M240" s="17" t="n"/>
      <c r="N240" s="15" t="n"/>
      <c r="O240" s="14">
        <f>IF(AND(L240&lt;&gt;"",L240&lt;=TODAY(),J240&lt;&gt;"Sin interés"),"Contactar","")</f>
        <v/>
      </c>
      <c r="P240" s="16" t="n"/>
    </row>
    <row r="241">
      <c r="A241" s="15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5" t="n"/>
      <c r="M241" s="17" t="n"/>
      <c r="N241" s="15" t="n"/>
      <c r="O241" s="14">
        <f>IF(AND(L241&lt;&gt;"",L241&lt;=TODAY(),J241&lt;&gt;"Sin interés"),"Contactar","")</f>
        <v/>
      </c>
      <c r="P241" s="16" t="n"/>
    </row>
    <row r="242">
      <c r="A242" s="15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5" t="n"/>
      <c r="M242" s="17" t="n"/>
      <c r="N242" s="15" t="n"/>
      <c r="O242" s="14">
        <f>IF(AND(L242&lt;&gt;"",L242&lt;=TODAY(),J242&lt;&gt;"Sin interés"),"Contactar","")</f>
        <v/>
      </c>
      <c r="P242" s="16" t="n"/>
    </row>
    <row r="243">
      <c r="A243" s="15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5" t="n"/>
      <c r="M243" s="17" t="n"/>
      <c r="N243" s="15" t="n"/>
      <c r="O243" s="14">
        <f>IF(AND(L243&lt;&gt;"",L243&lt;=TODAY(),J243&lt;&gt;"Sin interés"),"Contactar","")</f>
        <v/>
      </c>
      <c r="P243" s="16" t="n"/>
    </row>
    <row r="244">
      <c r="A244" s="15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5" t="n"/>
      <c r="M244" s="17" t="n"/>
      <c r="N244" s="15" t="n"/>
      <c r="O244" s="14">
        <f>IF(AND(L244&lt;&gt;"",L244&lt;=TODAY(),J244&lt;&gt;"Sin interés"),"Contactar","")</f>
        <v/>
      </c>
      <c r="P244" s="16" t="n"/>
    </row>
    <row r="245">
      <c r="A245" s="15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5" t="n"/>
      <c r="M245" s="17" t="n"/>
      <c r="N245" s="15" t="n"/>
      <c r="O245" s="14">
        <f>IF(AND(L245&lt;&gt;"",L245&lt;=TODAY(),J245&lt;&gt;"Sin interés"),"Contactar","")</f>
        <v/>
      </c>
      <c r="P245" s="16" t="n"/>
    </row>
    <row r="246">
      <c r="A246" s="15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5" t="n"/>
      <c r="M246" s="17" t="n"/>
      <c r="N246" s="15" t="n"/>
      <c r="O246" s="14">
        <f>IF(AND(L246&lt;&gt;"",L246&lt;=TODAY(),J246&lt;&gt;"Sin interés"),"Contactar","")</f>
        <v/>
      </c>
      <c r="P246" s="16" t="n"/>
    </row>
    <row r="247">
      <c r="A247" s="15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5" t="n"/>
      <c r="M247" s="17" t="n"/>
      <c r="N247" s="15" t="n"/>
      <c r="O247" s="14">
        <f>IF(AND(L247&lt;&gt;"",L247&lt;=TODAY(),J247&lt;&gt;"Sin interés"),"Contactar","")</f>
        <v/>
      </c>
      <c r="P247" s="16" t="n"/>
    </row>
    <row r="248">
      <c r="A248" s="15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5" t="n"/>
      <c r="M248" s="17" t="n"/>
      <c r="N248" s="15" t="n"/>
      <c r="O248" s="14">
        <f>IF(AND(L248&lt;&gt;"",L248&lt;=TODAY(),J248&lt;&gt;"Sin interés"),"Contactar","")</f>
        <v/>
      </c>
      <c r="P248" s="16" t="n"/>
    </row>
    <row r="249">
      <c r="A249" s="15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5" t="n"/>
      <c r="M249" s="17" t="n"/>
      <c r="N249" s="15" t="n"/>
      <c r="O249" s="14">
        <f>IF(AND(L249&lt;&gt;"",L249&lt;=TODAY(),J249&lt;&gt;"Sin interés"),"Contactar","")</f>
        <v/>
      </c>
      <c r="P249" s="16" t="n"/>
    </row>
    <row r="250">
      <c r="A250" s="15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5" t="n"/>
      <c r="M250" s="17" t="n"/>
      <c r="N250" s="15" t="n"/>
      <c r="O250" s="14">
        <f>IF(AND(L250&lt;&gt;"",L250&lt;=TODAY(),J250&lt;&gt;"Sin interés"),"Contactar","")</f>
        <v/>
      </c>
      <c r="P250" s="16" t="n"/>
    </row>
    <row r="251">
      <c r="A251" s="15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5" t="n"/>
      <c r="M251" s="17" t="n"/>
      <c r="N251" s="15" t="n"/>
      <c r="O251" s="14">
        <f>IF(AND(L251&lt;&gt;"",L251&lt;=TODAY(),J251&lt;&gt;"Sin interés"),"Contactar","")</f>
        <v/>
      </c>
      <c r="P251" s="16" t="n"/>
    </row>
    <row r="252">
      <c r="A252" s="15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5" t="n"/>
      <c r="M252" s="17" t="n"/>
      <c r="N252" s="15" t="n"/>
      <c r="O252" s="14">
        <f>IF(AND(L252&lt;&gt;"",L252&lt;=TODAY(),J252&lt;&gt;"Sin interés"),"Contactar","")</f>
        <v/>
      </c>
      <c r="P252" s="16" t="n"/>
    </row>
    <row r="253">
      <c r="A253" s="15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5" t="n"/>
      <c r="M253" s="17" t="n"/>
      <c r="N253" s="15" t="n"/>
      <c r="O253" s="14">
        <f>IF(AND(L253&lt;&gt;"",L253&lt;=TODAY(),J253&lt;&gt;"Sin interés"),"Contactar","")</f>
        <v/>
      </c>
      <c r="P253" s="16" t="n"/>
    </row>
    <row r="254">
      <c r="A254" s="15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5" t="n"/>
      <c r="M254" s="17" t="n"/>
      <c r="N254" s="15" t="n"/>
      <c r="O254" s="14">
        <f>IF(AND(L254&lt;&gt;"",L254&lt;=TODAY(),J254&lt;&gt;"Sin interés"),"Contactar","")</f>
        <v/>
      </c>
      <c r="P254" s="16" t="n"/>
    </row>
    <row r="255">
      <c r="A255" s="15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5" t="n"/>
      <c r="M255" s="17" t="n"/>
      <c r="N255" s="15" t="n"/>
      <c r="O255" s="14">
        <f>IF(AND(L255&lt;&gt;"",L255&lt;=TODAY(),J255&lt;&gt;"Sin interés"),"Contactar","")</f>
        <v/>
      </c>
      <c r="P255" s="16" t="n"/>
    </row>
    <row r="256">
      <c r="A256" s="15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5" t="n"/>
      <c r="M256" s="17" t="n"/>
      <c r="N256" s="15" t="n"/>
      <c r="O256" s="14">
        <f>IF(AND(L256&lt;&gt;"",L256&lt;=TODAY(),J256&lt;&gt;"Sin interés"),"Contactar","")</f>
        <v/>
      </c>
      <c r="P256" s="16" t="n"/>
    </row>
    <row r="257">
      <c r="A257" s="15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5" t="n"/>
      <c r="M257" s="17" t="n"/>
      <c r="N257" s="15" t="n"/>
      <c r="O257" s="14">
        <f>IF(AND(L257&lt;&gt;"",L257&lt;=TODAY(),J257&lt;&gt;"Sin interés"),"Contactar","")</f>
        <v/>
      </c>
      <c r="P257" s="16" t="n"/>
    </row>
    <row r="258">
      <c r="A258" s="15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5" t="n"/>
      <c r="M258" s="17" t="n"/>
      <c r="N258" s="15" t="n"/>
      <c r="O258" s="14">
        <f>IF(AND(L258&lt;&gt;"",L258&lt;=TODAY(),J258&lt;&gt;"Sin interés"),"Contactar","")</f>
        <v/>
      </c>
      <c r="P258" s="16" t="n"/>
    </row>
    <row r="259">
      <c r="A259" s="15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5" t="n"/>
      <c r="M259" s="17" t="n"/>
      <c r="N259" s="15" t="n"/>
      <c r="O259" s="14">
        <f>IF(AND(L259&lt;&gt;"",L259&lt;=TODAY(),J259&lt;&gt;"Sin interés"),"Contactar","")</f>
        <v/>
      </c>
      <c r="P259" s="16" t="n"/>
    </row>
    <row r="260">
      <c r="A260" s="15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5" t="n"/>
      <c r="M260" s="17" t="n"/>
      <c r="N260" s="15" t="n"/>
      <c r="O260" s="14">
        <f>IF(AND(L260&lt;&gt;"",L260&lt;=TODAY(),J260&lt;&gt;"Sin interés"),"Contactar","")</f>
        <v/>
      </c>
      <c r="P260" s="16" t="n"/>
    </row>
    <row r="261">
      <c r="A261" s="15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5" t="n"/>
      <c r="M261" s="17" t="n"/>
      <c r="N261" s="15" t="n"/>
      <c r="O261" s="14">
        <f>IF(AND(L261&lt;&gt;"",L261&lt;=TODAY(),J261&lt;&gt;"Sin interés"),"Contactar","")</f>
        <v/>
      </c>
      <c r="P261" s="16" t="n"/>
    </row>
    <row r="262">
      <c r="A262" s="15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5" t="n"/>
      <c r="M262" s="17" t="n"/>
      <c r="N262" s="15" t="n"/>
      <c r="O262" s="14">
        <f>IF(AND(L262&lt;&gt;"",L262&lt;=TODAY(),J262&lt;&gt;"Sin interés"),"Contactar","")</f>
        <v/>
      </c>
      <c r="P262" s="16" t="n"/>
    </row>
    <row r="263">
      <c r="A263" s="15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5" t="n"/>
      <c r="M263" s="17" t="n"/>
      <c r="N263" s="15" t="n"/>
      <c r="O263" s="14">
        <f>IF(AND(L263&lt;&gt;"",L263&lt;=TODAY(),J263&lt;&gt;"Sin interés"),"Contactar","")</f>
        <v/>
      </c>
      <c r="P263" s="16" t="n"/>
    </row>
    <row r="264">
      <c r="A264" s="15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5" t="n"/>
      <c r="M264" s="17" t="n"/>
      <c r="N264" s="15" t="n"/>
      <c r="O264" s="14">
        <f>IF(AND(L264&lt;&gt;"",L264&lt;=TODAY(),J264&lt;&gt;"Sin interés"),"Contactar","")</f>
        <v/>
      </c>
      <c r="P264" s="16" t="n"/>
    </row>
    <row r="265">
      <c r="A265" s="15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5" t="n"/>
      <c r="M265" s="17" t="n"/>
      <c r="N265" s="15" t="n"/>
      <c r="O265" s="14">
        <f>IF(AND(L265&lt;&gt;"",L265&lt;=TODAY(),J265&lt;&gt;"Sin interés"),"Contactar","")</f>
        <v/>
      </c>
      <c r="P265" s="16" t="n"/>
    </row>
    <row r="266">
      <c r="A266" s="15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5" t="n"/>
      <c r="M266" s="17" t="n"/>
      <c r="N266" s="15" t="n"/>
      <c r="O266" s="14">
        <f>IF(AND(L266&lt;&gt;"",L266&lt;=TODAY(),J266&lt;&gt;"Sin interés"),"Contactar","")</f>
        <v/>
      </c>
      <c r="P266" s="16" t="n"/>
    </row>
    <row r="267">
      <c r="A267" s="15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5" t="n"/>
      <c r="M267" s="17" t="n"/>
      <c r="N267" s="15" t="n"/>
      <c r="O267" s="14">
        <f>IF(AND(L267&lt;&gt;"",L267&lt;=TODAY(),J267&lt;&gt;"Sin interés"),"Contactar","")</f>
        <v/>
      </c>
      <c r="P267" s="16" t="n"/>
    </row>
    <row r="268">
      <c r="A268" s="15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5" t="n"/>
      <c r="M268" s="17" t="n"/>
      <c r="N268" s="15" t="n"/>
      <c r="O268" s="14">
        <f>IF(AND(L268&lt;&gt;"",L268&lt;=TODAY(),J268&lt;&gt;"Sin interés"),"Contactar","")</f>
        <v/>
      </c>
      <c r="P268" s="16" t="n"/>
    </row>
    <row r="269">
      <c r="A269" s="15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5" t="n"/>
      <c r="M269" s="17" t="n"/>
      <c r="N269" s="15" t="n"/>
      <c r="O269" s="14">
        <f>IF(AND(L269&lt;&gt;"",L269&lt;=TODAY(),J269&lt;&gt;"Sin interés"),"Contactar","")</f>
        <v/>
      </c>
      <c r="P269" s="16" t="n"/>
    </row>
    <row r="270">
      <c r="A270" s="15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5" t="n"/>
      <c r="M270" s="17" t="n"/>
      <c r="N270" s="15" t="n"/>
      <c r="O270" s="14">
        <f>IF(AND(L270&lt;&gt;"",L270&lt;=TODAY(),J270&lt;&gt;"Sin interés"),"Contactar","")</f>
        <v/>
      </c>
      <c r="P270" s="16" t="n"/>
    </row>
    <row r="271">
      <c r="A271" s="15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5" t="n"/>
      <c r="M271" s="17" t="n"/>
      <c r="N271" s="15" t="n"/>
      <c r="O271" s="14">
        <f>IF(AND(L271&lt;&gt;"",L271&lt;=TODAY(),J271&lt;&gt;"Sin interés"),"Contactar","")</f>
        <v/>
      </c>
      <c r="P271" s="16" t="n"/>
    </row>
    <row r="272">
      <c r="A272" s="15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5" t="n"/>
      <c r="M272" s="17" t="n"/>
      <c r="N272" s="15" t="n"/>
      <c r="O272" s="14">
        <f>IF(AND(L272&lt;&gt;"",L272&lt;=TODAY(),J272&lt;&gt;"Sin interés"),"Contactar","")</f>
        <v/>
      </c>
      <c r="P272" s="16" t="n"/>
    </row>
    <row r="273">
      <c r="A273" s="15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5" t="n"/>
      <c r="M273" s="17" t="n"/>
      <c r="N273" s="15" t="n"/>
      <c r="O273" s="14">
        <f>IF(AND(L273&lt;&gt;"",L273&lt;=TODAY(),J273&lt;&gt;"Sin interés"),"Contactar","")</f>
        <v/>
      </c>
      <c r="P273" s="16" t="n"/>
    </row>
    <row r="274">
      <c r="A274" s="15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5" t="n"/>
      <c r="M274" s="17" t="n"/>
      <c r="N274" s="15" t="n"/>
      <c r="O274" s="14">
        <f>IF(AND(L274&lt;&gt;"",L274&lt;=TODAY(),J274&lt;&gt;"Sin interés"),"Contactar","")</f>
        <v/>
      </c>
      <c r="P274" s="16" t="n"/>
    </row>
    <row r="275">
      <c r="A275" s="15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5" t="n"/>
      <c r="M275" s="17" t="n"/>
      <c r="N275" s="15" t="n"/>
      <c r="O275" s="14">
        <f>IF(AND(L275&lt;&gt;"",L275&lt;=TODAY(),J275&lt;&gt;"Sin interés"),"Contactar","")</f>
        <v/>
      </c>
      <c r="P275" s="16" t="n"/>
    </row>
    <row r="276">
      <c r="A276" s="15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5" t="n"/>
      <c r="M276" s="17" t="n"/>
      <c r="N276" s="15" t="n"/>
      <c r="O276" s="14">
        <f>IF(AND(L276&lt;&gt;"",L276&lt;=TODAY(),J276&lt;&gt;"Sin interés"),"Contactar","")</f>
        <v/>
      </c>
      <c r="P276" s="16" t="n"/>
    </row>
    <row r="277">
      <c r="A277" s="15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5" t="n"/>
      <c r="M277" s="17" t="n"/>
      <c r="N277" s="15" t="n"/>
      <c r="O277" s="14">
        <f>IF(AND(L277&lt;&gt;"",L277&lt;=TODAY(),J277&lt;&gt;"Sin interés"),"Contactar","")</f>
        <v/>
      </c>
      <c r="P277" s="16" t="n"/>
    </row>
    <row r="278">
      <c r="A278" s="15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5" t="n"/>
      <c r="M278" s="17" t="n"/>
      <c r="N278" s="15" t="n"/>
      <c r="O278" s="14">
        <f>IF(AND(L278&lt;&gt;"",L278&lt;=TODAY(),J278&lt;&gt;"Sin interés"),"Contactar","")</f>
        <v/>
      </c>
      <c r="P278" s="16" t="n"/>
    </row>
    <row r="279">
      <c r="A279" s="15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5" t="n"/>
      <c r="M279" s="17" t="n"/>
      <c r="N279" s="15" t="n"/>
      <c r="O279" s="14">
        <f>IF(AND(L279&lt;&gt;"",L279&lt;=TODAY(),J279&lt;&gt;"Sin interés"),"Contactar","")</f>
        <v/>
      </c>
      <c r="P279" s="16" t="n"/>
    </row>
    <row r="280">
      <c r="A280" s="15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5" t="n"/>
      <c r="M280" s="17" t="n"/>
      <c r="N280" s="15" t="n"/>
      <c r="O280" s="14">
        <f>IF(AND(L280&lt;&gt;"",L280&lt;=TODAY(),J280&lt;&gt;"Sin interés"),"Contactar","")</f>
        <v/>
      </c>
      <c r="P280" s="16" t="n"/>
    </row>
    <row r="281">
      <c r="A281" s="15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5" t="n"/>
      <c r="M281" s="17" t="n"/>
      <c r="N281" s="15" t="n"/>
      <c r="O281" s="14">
        <f>IF(AND(L281&lt;&gt;"",L281&lt;=TODAY(),J281&lt;&gt;"Sin interés"),"Contactar","")</f>
        <v/>
      </c>
      <c r="P281" s="16" t="n"/>
    </row>
    <row r="282">
      <c r="A282" s="15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5" t="n"/>
      <c r="M282" s="17" t="n"/>
      <c r="N282" s="15" t="n"/>
      <c r="O282" s="14">
        <f>IF(AND(L282&lt;&gt;"",L282&lt;=TODAY(),J282&lt;&gt;"Sin interés"),"Contactar","")</f>
        <v/>
      </c>
      <c r="P282" s="16" t="n"/>
    </row>
    <row r="283">
      <c r="A283" s="15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5" t="n"/>
      <c r="M283" s="17" t="n"/>
      <c r="N283" s="15" t="n"/>
      <c r="O283" s="14">
        <f>IF(AND(L283&lt;&gt;"",L283&lt;=TODAY(),J283&lt;&gt;"Sin interés"),"Contactar","")</f>
        <v/>
      </c>
      <c r="P283" s="16" t="n"/>
    </row>
    <row r="284">
      <c r="A284" s="15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5" t="n"/>
      <c r="M284" s="17" t="n"/>
      <c r="N284" s="15" t="n"/>
      <c r="O284" s="14">
        <f>IF(AND(L284&lt;&gt;"",L284&lt;=TODAY(),J284&lt;&gt;"Sin interés"),"Contactar","")</f>
        <v/>
      </c>
      <c r="P284" s="16" t="n"/>
    </row>
    <row r="285">
      <c r="A285" s="15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5" t="n"/>
      <c r="M285" s="17" t="n"/>
      <c r="N285" s="15" t="n"/>
      <c r="O285" s="14">
        <f>IF(AND(L285&lt;&gt;"",L285&lt;=TODAY(),J285&lt;&gt;"Sin interés"),"Contactar","")</f>
        <v/>
      </c>
      <c r="P285" s="16" t="n"/>
    </row>
    <row r="286">
      <c r="A286" s="15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5" t="n"/>
      <c r="M286" s="17" t="n"/>
      <c r="N286" s="15" t="n"/>
      <c r="O286" s="14">
        <f>IF(AND(L286&lt;&gt;"",L286&lt;=TODAY(),J286&lt;&gt;"Sin interés"),"Contactar","")</f>
        <v/>
      </c>
      <c r="P286" s="16" t="n"/>
    </row>
    <row r="287">
      <c r="A287" s="15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5" t="n"/>
      <c r="M287" s="17" t="n"/>
      <c r="N287" s="15" t="n"/>
      <c r="O287" s="14">
        <f>IF(AND(L287&lt;&gt;"",L287&lt;=TODAY(),J287&lt;&gt;"Sin interés"),"Contactar","")</f>
        <v/>
      </c>
      <c r="P287" s="16" t="n"/>
    </row>
    <row r="288">
      <c r="A288" s="15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5" t="n"/>
      <c r="M288" s="17" t="n"/>
      <c r="N288" s="15" t="n"/>
      <c r="O288" s="14">
        <f>IF(AND(L288&lt;&gt;"",L288&lt;=TODAY(),J288&lt;&gt;"Sin interés"),"Contactar","")</f>
        <v/>
      </c>
      <c r="P288" s="16" t="n"/>
    </row>
    <row r="289">
      <c r="A289" s="15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5" t="n"/>
      <c r="M289" s="17" t="n"/>
      <c r="N289" s="15" t="n"/>
      <c r="O289" s="14">
        <f>IF(AND(L289&lt;&gt;"",L289&lt;=TODAY(),J289&lt;&gt;"Sin interés"),"Contactar","")</f>
        <v/>
      </c>
      <c r="P289" s="16" t="n"/>
    </row>
    <row r="290">
      <c r="A290" s="15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5" t="n"/>
      <c r="M290" s="17" t="n"/>
      <c r="N290" s="15" t="n"/>
      <c r="O290" s="14">
        <f>IF(AND(L290&lt;&gt;"",L290&lt;=TODAY(),J290&lt;&gt;"Sin interés"),"Contactar","")</f>
        <v/>
      </c>
      <c r="P290" s="16" t="n"/>
    </row>
    <row r="291">
      <c r="A291" s="15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5" t="n"/>
      <c r="M291" s="17" t="n"/>
      <c r="N291" s="15" t="n"/>
      <c r="O291" s="14">
        <f>IF(AND(L291&lt;&gt;"",L291&lt;=TODAY(),J291&lt;&gt;"Sin interés"),"Contactar","")</f>
        <v/>
      </c>
      <c r="P291" s="16" t="n"/>
    </row>
    <row r="292">
      <c r="A292" s="15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5" t="n"/>
      <c r="M292" s="17" t="n"/>
      <c r="N292" s="15" t="n"/>
      <c r="O292" s="14">
        <f>IF(AND(L292&lt;&gt;"",L292&lt;=TODAY(),J292&lt;&gt;"Sin interés"),"Contactar","")</f>
        <v/>
      </c>
      <c r="P292" s="16" t="n"/>
    </row>
    <row r="293">
      <c r="A293" s="15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5" t="n"/>
      <c r="M293" s="17" t="n"/>
      <c r="N293" s="15" t="n"/>
      <c r="O293" s="14">
        <f>IF(AND(L293&lt;&gt;"",L293&lt;=TODAY(),J293&lt;&gt;"Sin interés"),"Contactar","")</f>
        <v/>
      </c>
      <c r="P293" s="16" t="n"/>
    </row>
    <row r="294">
      <c r="A294" s="15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5" t="n"/>
      <c r="M294" s="17" t="n"/>
      <c r="N294" s="15" t="n"/>
      <c r="O294" s="14">
        <f>IF(AND(L294&lt;&gt;"",L294&lt;=TODAY(),J294&lt;&gt;"Sin interés"),"Contactar","")</f>
        <v/>
      </c>
      <c r="P294" s="16" t="n"/>
    </row>
    <row r="295">
      <c r="A295" s="15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5" t="n"/>
      <c r="M295" s="17" t="n"/>
      <c r="N295" s="15" t="n"/>
      <c r="O295" s="14">
        <f>IF(AND(L295&lt;&gt;"",L295&lt;=TODAY(),J295&lt;&gt;"Sin interés"),"Contactar","")</f>
        <v/>
      </c>
      <c r="P295" s="16" t="n"/>
    </row>
    <row r="296">
      <c r="A296" s="15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5" t="n"/>
      <c r="M296" s="17" t="n"/>
      <c r="N296" s="15" t="n"/>
      <c r="O296" s="14">
        <f>IF(AND(L296&lt;&gt;"",L296&lt;=TODAY(),J296&lt;&gt;"Sin interés"),"Contactar","")</f>
        <v/>
      </c>
      <c r="P296" s="16" t="n"/>
    </row>
    <row r="297">
      <c r="A297" s="15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5" t="n"/>
      <c r="M297" s="17" t="n"/>
      <c r="N297" s="15" t="n"/>
      <c r="O297" s="14">
        <f>IF(AND(L297&lt;&gt;"",L297&lt;=TODAY(),J297&lt;&gt;"Sin interés"),"Contactar","")</f>
        <v/>
      </c>
      <c r="P297" s="16" t="n"/>
    </row>
    <row r="298">
      <c r="A298" s="15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5" t="n"/>
      <c r="M298" s="17" t="n"/>
      <c r="N298" s="15" t="n"/>
      <c r="O298" s="14">
        <f>IF(AND(L298&lt;&gt;"",L298&lt;=TODAY(),J298&lt;&gt;"Sin interés"),"Contactar","")</f>
        <v/>
      </c>
      <c r="P298" s="16" t="n"/>
    </row>
    <row r="299">
      <c r="A299" s="15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5" t="n"/>
      <c r="M299" s="17" t="n"/>
      <c r="N299" s="15" t="n"/>
      <c r="O299" s="14">
        <f>IF(AND(L299&lt;&gt;"",L299&lt;=TODAY(),J299&lt;&gt;"Sin interés"),"Contactar","")</f>
        <v/>
      </c>
      <c r="P299" s="16" t="n"/>
    </row>
    <row r="300">
      <c r="A300" s="15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5" t="n"/>
      <c r="M300" s="17" t="n"/>
      <c r="N300" s="15" t="n"/>
      <c r="O300" s="14">
        <f>IF(AND(L300&lt;&gt;"",L300&lt;=TODAY(),J300&lt;&gt;"Sin interés"),"Contactar","")</f>
        <v/>
      </c>
      <c r="P300" s="16" t="n"/>
    </row>
    <row r="301">
      <c r="A301" s="15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5" t="n"/>
      <c r="M301" s="17" t="n"/>
      <c r="N301" s="15" t="n"/>
      <c r="O301" s="14">
        <f>IF(AND(L301&lt;&gt;"",L301&lt;=TODAY(),J301&lt;&gt;"Sin interés"),"Contactar","")</f>
        <v/>
      </c>
      <c r="P301" s="16" t="n"/>
    </row>
    <row r="302">
      <c r="A302" s="15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5" t="n"/>
      <c r="M302" s="17" t="n"/>
      <c r="N302" s="15" t="n"/>
      <c r="O302" s="14">
        <f>IF(AND(L302&lt;&gt;"",L302&lt;=TODAY(),J302&lt;&gt;"Sin interés"),"Contactar","")</f>
        <v/>
      </c>
      <c r="P302" s="16" t="n"/>
    </row>
    <row r="303">
      <c r="A303" s="15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5" t="n"/>
      <c r="M303" s="17" t="n"/>
      <c r="N303" s="15" t="n"/>
      <c r="O303" s="14">
        <f>IF(AND(L303&lt;&gt;"",L303&lt;=TODAY(),J303&lt;&gt;"Sin interés"),"Contactar","")</f>
        <v/>
      </c>
      <c r="P303" s="16" t="n"/>
    </row>
    <row r="304">
      <c r="A304" s="15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5" t="n"/>
      <c r="M304" s="17" t="n"/>
      <c r="N304" s="15" t="n"/>
      <c r="O304" s="14">
        <f>IF(AND(L304&lt;&gt;"",L304&lt;=TODAY(),J304&lt;&gt;"Sin interés"),"Contactar","")</f>
        <v/>
      </c>
      <c r="P304" s="16" t="n"/>
    </row>
    <row r="305">
      <c r="A305" s="15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5" t="n"/>
      <c r="M305" s="17" t="n"/>
      <c r="N305" s="15" t="n"/>
      <c r="O305" s="14">
        <f>IF(AND(L305&lt;&gt;"",L305&lt;=TODAY(),J305&lt;&gt;"Sin interés"),"Contactar","")</f>
        <v/>
      </c>
      <c r="P305" s="16" t="n"/>
    </row>
    <row r="306">
      <c r="A306" s="15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5" t="n"/>
      <c r="M306" s="17" t="n"/>
      <c r="N306" s="15" t="n"/>
      <c r="O306" s="14">
        <f>IF(AND(L306&lt;&gt;"",L306&lt;=TODAY(),J306&lt;&gt;"Sin interés"),"Contactar","")</f>
        <v/>
      </c>
      <c r="P306" s="16" t="n"/>
    </row>
    <row r="307">
      <c r="A307" s="15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5" t="n"/>
      <c r="M307" s="17" t="n"/>
      <c r="N307" s="15" t="n"/>
      <c r="O307" s="14">
        <f>IF(AND(L307&lt;&gt;"",L307&lt;=TODAY(),J307&lt;&gt;"Sin interés"),"Contactar","")</f>
        <v/>
      </c>
      <c r="P307" s="16" t="n"/>
    </row>
    <row r="308">
      <c r="A308" s="15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5" t="n"/>
      <c r="M308" s="17" t="n"/>
      <c r="N308" s="15" t="n"/>
      <c r="O308" s="14">
        <f>IF(AND(L308&lt;&gt;"",L308&lt;=TODAY(),J308&lt;&gt;"Sin interés"),"Contactar","")</f>
        <v/>
      </c>
      <c r="P308" s="16" t="n"/>
    </row>
    <row r="309">
      <c r="A309" s="15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5" t="n"/>
      <c r="M309" s="17" t="n"/>
      <c r="N309" s="15" t="n"/>
      <c r="O309" s="14">
        <f>IF(AND(L309&lt;&gt;"",L309&lt;=TODAY(),J309&lt;&gt;"Sin interés"),"Contactar","")</f>
        <v/>
      </c>
      <c r="P309" s="16" t="n"/>
    </row>
    <row r="310">
      <c r="A310" s="15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5" t="n"/>
      <c r="M310" s="17" t="n"/>
      <c r="N310" s="15" t="n"/>
      <c r="O310" s="14">
        <f>IF(AND(L310&lt;&gt;"",L310&lt;=TODAY(),J310&lt;&gt;"Sin interés"),"Contactar","")</f>
        <v/>
      </c>
      <c r="P310" s="16" t="n"/>
    </row>
    <row r="311">
      <c r="A311" s="15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5" t="n"/>
      <c r="M311" s="17" t="n"/>
      <c r="N311" s="15" t="n"/>
      <c r="O311" s="14">
        <f>IF(AND(L311&lt;&gt;"",L311&lt;=TODAY(),J311&lt;&gt;"Sin interés"),"Contactar","")</f>
        <v/>
      </c>
      <c r="P311" s="16" t="n"/>
    </row>
    <row r="312">
      <c r="A312" s="15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5" t="n"/>
      <c r="M312" s="17" t="n"/>
      <c r="N312" s="15" t="n"/>
      <c r="O312" s="14">
        <f>IF(AND(L312&lt;&gt;"",L312&lt;=TODAY(),J312&lt;&gt;"Sin interés"),"Contactar","")</f>
        <v/>
      </c>
      <c r="P312" s="16" t="n"/>
    </row>
    <row r="313">
      <c r="A313" s="15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5" t="n"/>
      <c r="M313" s="17" t="n"/>
      <c r="N313" s="15" t="n"/>
      <c r="O313" s="14">
        <f>IF(AND(L313&lt;&gt;"",L313&lt;=TODAY(),J313&lt;&gt;"Sin interés"),"Contactar","")</f>
        <v/>
      </c>
      <c r="P313" s="16" t="n"/>
    </row>
    <row r="314">
      <c r="A314" s="15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5" t="n"/>
      <c r="M314" s="17" t="n"/>
      <c r="N314" s="15" t="n"/>
      <c r="O314" s="14">
        <f>IF(AND(L314&lt;&gt;"",L314&lt;=TODAY(),J314&lt;&gt;"Sin interés"),"Contactar","")</f>
        <v/>
      </c>
      <c r="P314" s="16" t="n"/>
    </row>
    <row r="315">
      <c r="A315" s="15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5" t="n"/>
      <c r="M315" s="17" t="n"/>
      <c r="N315" s="15" t="n"/>
      <c r="O315" s="14">
        <f>IF(AND(L315&lt;&gt;"",L315&lt;=TODAY(),J315&lt;&gt;"Sin interés"),"Contactar","")</f>
        <v/>
      </c>
      <c r="P315" s="16" t="n"/>
    </row>
    <row r="316">
      <c r="A316" s="15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5" t="n"/>
      <c r="M316" s="17" t="n"/>
      <c r="N316" s="15" t="n"/>
      <c r="O316" s="14">
        <f>IF(AND(L316&lt;&gt;"",L316&lt;=TODAY(),J316&lt;&gt;"Sin interés"),"Contactar","")</f>
        <v/>
      </c>
      <c r="P316" s="16" t="n"/>
    </row>
    <row r="317">
      <c r="A317" s="15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5" t="n"/>
      <c r="M317" s="17" t="n"/>
      <c r="N317" s="15" t="n"/>
      <c r="O317" s="14">
        <f>IF(AND(L317&lt;&gt;"",L317&lt;=TODAY(),J317&lt;&gt;"Sin interés"),"Contactar","")</f>
        <v/>
      </c>
      <c r="P317" s="16" t="n"/>
    </row>
    <row r="318">
      <c r="A318" s="15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5" t="n"/>
      <c r="M318" s="17" t="n"/>
      <c r="N318" s="15" t="n"/>
      <c r="O318" s="14">
        <f>IF(AND(L318&lt;&gt;"",L318&lt;=TODAY(),J318&lt;&gt;"Sin interés"),"Contactar","")</f>
        <v/>
      </c>
      <c r="P318" s="16" t="n"/>
    </row>
    <row r="319">
      <c r="A319" s="15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5" t="n"/>
      <c r="M319" s="17" t="n"/>
      <c r="N319" s="15" t="n"/>
      <c r="O319" s="14">
        <f>IF(AND(L319&lt;&gt;"",L319&lt;=TODAY(),J319&lt;&gt;"Sin interés"),"Contactar","")</f>
        <v/>
      </c>
      <c r="P319" s="16" t="n"/>
    </row>
    <row r="320">
      <c r="A320" s="15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5" t="n"/>
      <c r="M320" s="17" t="n"/>
      <c r="N320" s="15" t="n"/>
      <c r="O320" s="14">
        <f>IF(AND(L320&lt;&gt;"",L320&lt;=TODAY(),J320&lt;&gt;"Sin interés"),"Contactar","")</f>
        <v/>
      </c>
      <c r="P320" s="16" t="n"/>
    </row>
    <row r="321">
      <c r="A321" s="15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5" t="n"/>
      <c r="M321" s="17" t="n"/>
      <c r="N321" s="15" t="n"/>
      <c r="O321" s="14">
        <f>IF(AND(L321&lt;&gt;"",L321&lt;=TODAY(),J321&lt;&gt;"Sin interés"),"Contactar","")</f>
        <v/>
      </c>
      <c r="P321" s="16" t="n"/>
    </row>
    <row r="322">
      <c r="A322" s="15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5" t="n"/>
      <c r="M322" s="17" t="n"/>
      <c r="N322" s="15" t="n"/>
      <c r="O322" s="14">
        <f>IF(AND(L322&lt;&gt;"",L322&lt;=TODAY(),J322&lt;&gt;"Sin interés"),"Contactar","")</f>
        <v/>
      </c>
      <c r="P322" s="16" t="n"/>
    </row>
    <row r="323">
      <c r="A323" s="15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5" t="n"/>
      <c r="M323" s="17" t="n"/>
      <c r="N323" s="15" t="n"/>
      <c r="O323" s="14">
        <f>IF(AND(L323&lt;&gt;"",L323&lt;=TODAY(),J323&lt;&gt;"Sin interés"),"Contactar","")</f>
        <v/>
      </c>
      <c r="P323" s="16" t="n"/>
    </row>
    <row r="324">
      <c r="A324" s="15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5" t="n"/>
      <c r="M324" s="17" t="n"/>
      <c r="N324" s="15" t="n"/>
      <c r="O324" s="14">
        <f>IF(AND(L324&lt;&gt;"",L324&lt;=TODAY(),J324&lt;&gt;"Sin interés"),"Contactar","")</f>
        <v/>
      </c>
      <c r="P324" s="16" t="n"/>
    </row>
    <row r="325">
      <c r="A325" s="15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5" t="n"/>
      <c r="M325" s="17" t="n"/>
      <c r="N325" s="15" t="n"/>
      <c r="O325" s="14">
        <f>IF(AND(L325&lt;&gt;"",L325&lt;=TODAY(),J325&lt;&gt;"Sin interés"),"Contactar","")</f>
        <v/>
      </c>
      <c r="P325" s="16" t="n"/>
    </row>
    <row r="326">
      <c r="A326" s="15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5" t="n"/>
      <c r="M326" s="17" t="n"/>
      <c r="N326" s="15" t="n"/>
      <c r="O326" s="14">
        <f>IF(AND(L326&lt;&gt;"",L326&lt;=TODAY(),J326&lt;&gt;"Sin interés"),"Contactar","")</f>
        <v/>
      </c>
      <c r="P326" s="16" t="n"/>
    </row>
    <row r="327">
      <c r="A327" s="15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5" t="n"/>
      <c r="M327" s="17" t="n"/>
      <c r="N327" s="15" t="n"/>
      <c r="O327" s="14">
        <f>IF(AND(L327&lt;&gt;"",L327&lt;=TODAY(),J327&lt;&gt;"Sin interés"),"Contactar","")</f>
        <v/>
      </c>
      <c r="P327" s="16" t="n"/>
    </row>
    <row r="328">
      <c r="A328" s="15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5" t="n"/>
      <c r="M328" s="17" t="n"/>
      <c r="N328" s="15" t="n"/>
      <c r="O328" s="14">
        <f>IF(AND(L328&lt;&gt;"",L328&lt;=TODAY(),J328&lt;&gt;"Sin interés"),"Contactar","")</f>
        <v/>
      </c>
      <c r="P328" s="16" t="n"/>
    </row>
    <row r="329">
      <c r="A329" s="15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5" t="n"/>
      <c r="M329" s="17" t="n"/>
      <c r="N329" s="15" t="n"/>
      <c r="O329" s="14">
        <f>IF(AND(L329&lt;&gt;"",L329&lt;=TODAY(),J329&lt;&gt;"Sin interés"),"Contactar","")</f>
        <v/>
      </c>
      <c r="P329" s="16" t="n"/>
    </row>
    <row r="330">
      <c r="A330" s="15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5" t="n"/>
      <c r="M330" s="17" t="n"/>
      <c r="N330" s="15" t="n"/>
      <c r="O330" s="14">
        <f>IF(AND(L330&lt;&gt;"",L330&lt;=TODAY(),J330&lt;&gt;"Sin interés"),"Contactar","")</f>
        <v/>
      </c>
      <c r="P330" s="16" t="n"/>
    </row>
    <row r="331">
      <c r="A331" s="15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5" t="n"/>
      <c r="M331" s="17" t="n"/>
      <c r="N331" s="15" t="n"/>
      <c r="O331" s="14">
        <f>IF(AND(L331&lt;&gt;"",L331&lt;=TODAY(),J331&lt;&gt;"Sin interés"),"Contactar","")</f>
        <v/>
      </c>
      <c r="P331" s="16" t="n"/>
    </row>
    <row r="332">
      <c r="A332" s="15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5" t="n"/>
      <c r="M332" s="17" t="n"/>
      <c r="N332" s="15" t="n"/>
      <c r="O332" s="14">
        <f>IF(AND(L332&lt;&gt;"",L332&lt;=TODAY(),J332&lt;&gt;"Sin interés"),"Contactar","")</f>
        <v/>
      </c>
      <c r="P332" s="16" t="n"/>
    </row>
    <row r="333">
      <c r="A333" s="15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5" t="n"/>
      <c r="M333" s="17" t="n"/>
      <c r="N333" s="15" t="n"/>
      <c r="O333" s="14">
        <f>IF(AND(L333&lt;&gt;"",L333&lt;=TODAY(),J333&lt;&gt;"Sin interés"),"Contactar","")</f>
        <v/>
      </c>
      <c r="P333" s="16" t="n"/>
    </row>
    <row r="334">
      <c r="A334" s="15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5" t="n"/>
      <c r="M334" s="17" t="n"/>
      <c r="N334" s="15" t="n"/>
      <c r="O334" s="14">
        <f>IF(AND(L334&lt;&gt;"",L334&lt;=TODAY(),J334&lt;&gt;"Sin interés"),"Contactar","")</f>
        <v/>
      </c>
      <c r="P334" s="16" t="n"/>
    </row>
    <row r="335">
      <c r="A335" s="15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5" t="n"/>
      <c r="M335" s="17" t="n"/>
      <c r="N335" s="15" t="n"/>
      <c r="O335" s="14">
        <f>IF(AND(L335&lt;&gt;"",L335&lt;=TODAY(),J335&lt;&gt;"Sin interés"),"Contactar","")</f>
        <v/>
      </c>
      <c r="P335" s="16" t="n"/>
    </row>
    <row r="336">
      <c r="A336" s="15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5" t="n"/>
      <c r="M336" s="17" t="n"/>
      <c r="N336" s="15" t="n"/>
      <c r="O336" s="14">
        <f>IF(AND(L336&lt;&gt;"",L336&lt;=TODAY(),J336&lt;&gt;"Sin interés"),"Contactar","")</f>
        <v/>
      </c>
      <c r="P336" s="16" t="n"/>
    </row>
    <row r="337">
      <c r="A337" s="15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5" t="n"/>
      <c r="M337" s="17" t="n"/>
      <c r="N337" s="15" t="n"/>
      <c r="O337" s="14">
        <f>IF(AND(L337&lt;&gt;"",L337&lt;=TODAY(),J337&lt;&gt;"Sin interés"),"Contactar","")</f>
        <v/>
      </c>
      <c r="P337" s="16" t="n"/>
    </row>
    <row r="338">
      <c r="A338" s="15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5" t="n"/>
      <c r="M338" s="17" t="n"/>
      <c r="N338" s="15" t="n"/>
      <c r="O338" s="14">
        <f>IF(AND(L338&lt;&gt;"",L338&lt;=TODAY(),J338&lt;&gt;"Sin interés"),"Contactar","")</f>
        <v/>
      </c>
      <c r="P338" s="16" t="n"/>
    </row>
    <row r="339">
      <c r="A339" s="15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5" t="n"/>
      <c r="M339" s="17" t="n"/>
      <c r="N339" s="15" t="n"/>
      <c r="O339" s="14">
        <f>IF(AND(L339&lt;&gt;"",L339&lt;=TODAY(),J339&lt;&gt;"Sin interés"),"Contactar","")</f>
        <v/>
      </c>
      <c r="P339" s="16" t="n"/>
    </row>
    <row r="340">
      <c r="A340" s="15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5" t="n"/>
      <c r="M340" s="17" t="n"/>
      <c r="N340" s="15" t="n"/>
      <c r="O340" s="14">
        <f>IF(AND(L340&lt;&gt;"",L340&lt;=TODAY(),J340&lt;&gt;"Sin interés"),"Contactar","")</f>
        <v/>
      </c>
      <c r="P340" s="16" t="n"/>
    </row>
    <row r="341">
      <c r="A341" s="15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5" t="n"/>
      <c r="M341" s="17" t="n"/>
      <c r="N341" s="15" t="n"/>
      <c r="O341" s="14">
        <f>IF(AND(L341&lt;&gt;"",L341&lt;=TODAY(),J341&lt;&gt;"Sin interés"),"Contactar","")</f>
        <v/>
      </c>
      <c r="P341" s="16" t="n"/>
    </row>
    <row r="342">
      <c r="A342" s="15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5" t="n"/>
      <c r="M342" s="17" t="n"/>
      <c r="N342" s="15" t="n"/>
      <c r="O342" s="14">
        <f>IF(AND(L342&lt;&gt;"",L342&lt;=TODAY(),J342&lt;&gt;"Sin interés"),"Contactar","")</f>
        <v/>
      </c>
      <c r="P342" s="16" t="n"/>
    </row>
    <row r="343">
      <c r="A343" s="15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5" t="n"/>
      <c r="M343" s="17" t="n"/>
      <c r="N343" s="15" t="n"/>
      <c r="O343" s="14">
        <f>IF(AND(L343&lt;&gt;"",L343&lt;=TODAY(),J343&lt;&gt;"Sin interés"),"Contactar","")</f>
        <v/>
      </c>
      <c r="P343" s="16" t="n"/>
    </row>
    <row r="344">
      <c r="A344" s="15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5" t="n"/>
      <c r="M344" s="17" t="n"/>
      <c r="N344" s="15" t="n"/>
      <c r="O344" s="14">
        <f>IF(AND(L344&lt;&gt;"",L344&lt;=TODAY(),J344&lt;&gt;"Sin interés"),"Contactar","")</f>
        <v/>
      </c>
      <c r="P344" s="16" t="n"/>
    </row>
    <row r="345">
      <c r="A345" s="15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5" t="n"/>
      <c r="M345" s="17" t="n"/>
      <c r="N345" s="15" t="n"/>
      <c r="O345" s="14">
        <f>IF(AND(L345&lt;&gt;"",L345&lt;=TODAY(),J345&lt;&gt;"Sin interés"),"Contactar","")</f>
        <v/>
      </c>
      <c r="P345" s="16" t="n"/>
    </row>
    <row r="346">
      <c r="A346" s="15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5" t="n"/>
      <c r="M346" s="17" t="n"/>
      <c r="N346" s="15" t="n"/>
      <c r="O346" s="14">
        <f>IF(AND(L346&lt;&gt;"",L346&lt;=TODAY(),J346&lt;&gt;"Sin interés"),"Contactar","")</f>
        <v/>
      </c>
      <c r="P346" s="16" t="n"/>
    </row>
    <row r="347">
      <c r="A347" s="15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5" t="n"/>
      <c r="M347" s="17" t="n"/>
      <c r="N347" s="15" t="n"/>
      <c r="O347" s="14">
        <f>IF(AND(L347&lt;&gt;"",L347&lt;=TODAY(),J347&lt;&gt;"Sin interés"),"Contactar","")</f>
        <v/>
      </c>
      <c r="P347" s="16" t="n"/>
    </row>
    <row r="348">
      <c r="A348" s="15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5" t="n"/>
      <c r="M348" s="17" t="n"/>
      <c r="N348" s="15" t="n"/>
      <c r="O348" s="14">
        <f>IF(AND(L348&lt;&gt;"",L348&lt;=TODAY(),J348&lt;&gt;"Sin interés"),"Contactar","")</f>
        <v/>
      </c>
      <c r="P348" s="16" t="n"/>
    </row>
    <row r="349">
      <c r="A349" s="15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5" t="n"/>
      <c r="M349" s="17" t="n"/>
      <c r="N349" s="15" t="n"/>
      <c r="O349" s="14">
        <f>IF(AND(L349&lt;&gt;"",L349&lt;=TODAY(),J349&lt;&gt;"Sin interés"),"Contactar","")</f>
        <v/>
      </c>
      <c r="P349" s="16" t="n"/>
    </row>
    <row r="350">
      <c r="A350" s="15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5" t="n"/>
      <c r="M350" s="17" t="n"/>
      <c r="N350" s="15" t="n"/>
      <c r="O350" s="14">
        <f>IF(AND(L350&lt;&gt;"",L350&lt;=TODAY(),J350&lt;&gt;"Sin interés"),"Contactar","")</f>
        <v/>
      </c>
      <c r="P350" s="16" t="n"/>
    </row>
    <row r="351">
      <c r="A351" s="15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5" t="n"/>
      <c r="M351" s="17" t="n"/>
      <c r="N351" s="15" t="n"/>
      <c r="O351" s="14">
        <f>IF(AND(L351&lt;&gt;"",L351&lt;=TODAY(),J351&lt;&gt;"Sin interés"),"Contactar","")</f>
        <v/>
      </c>
      <c r="P351" s="16" t="n"/>
    </row>
    <row r="352">
      <c r="A352" s="15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5" t="n"/>
      <c r="M352" s="17" t="n"/>
      <c r="N352" s="15" t="n"/>
      <c r="O352" s="14">
        <f>IF(AND(L352&lt;&gt;"",L352&lt;=TODAY(),J352&lt;&gt;"Sin interés"),"Contactar","")</f>
        <v/>
      </c>
      <c r="P352" s="16" t="n"/>
    </row>
    <row r="353">
      <c r="A353" s="15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5" t="n"/>
      <c r="M353" s="17" t="n"/>
      <c r="N353" s="15" t="n"/>
      <c r="O353" s="14">
        <f>IF(AND(L353&lt;&gt;"",L353&lt;=TODAY(),J353&lt;&gt;"Sin interés"),"Contactar","")</f>
        <v/>
      </c>
      <c r="P353" s="16" t="n"/>
    </row>
    <row r="354">
      <c r="A354" s="15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5" t="n"/>
      <c r="M354" s="17" t="n"/>
      <c r="N354" s="15" t="n"/>
      <c r="O354" s="14">
        <f>IF(AND(L354&lt;&gt;"",L354&lt;=TODAY(),J354&lt;&gt;"Sin interés"),"Contactar","")</f>
        <v/>
      </c>
      <c r="P354" s="16" t="n"/>
    </row>
    <row r="355">
      <c r="A355" s="15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5" t="n"/>
      <c r="M355" s="17" t="n"/>
      <c r="N355" s="15" t="n"/>
      <c r="O355" s="14">
        <f>IF(AND(L355&lt;&gt;"",L355&lt;=TODAY(),J355&lt;&gt;"Sin interés"),"Contactar","")</f>
        <v/>
      </c>
      <c r="P355" s="16" t="n"/>
    </row>
    <row r="356">
      <c r="A356" s="15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5" t="n"/>
      <c r="M356" s="17" t="n"/>
      <c r="N356" s="15" t="n"/>
      <c r="O356" s="14">
        <f>IF(AND(L356&lt;&gt;"",L356&lt;=TODAY(),J356&lt;&gt;"Sin interés"),"Contactar","")</f>
        <v/>
      </c>
      <c r="P356" s="16" t="n"/>
    </row>
    <row r="357">
      <c r="A357" s="15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5" t="n"/>
      <c r="M357" s="17" t="n"/>
      <c r="N357" s="15" t="n"/>
      <c r="O357" s="14">
        <f>IF(AND(L357&lt;&gt;"",L357&lt;=TODAY(),J357&lt;&gt;"Sin interés"),"Contactar","")</f>
        <v/>
      </c>
      <c r="P357" s="16" t="n"/>
    </row>
    <row r="358">
      <c r="A358" s="15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5" t="n"/>
      <c r="M358" s="17" t="n"/>
      <c r="N358" s="15" t="n"/>
      <c r="O358" s="14">
        <f>IF(AND(L358&lt;&gt;"",L358&lt;=TODAY(),J358&lt;&gt;"Sin interés"),"Contactar","")</f>
        <v/>
      </c>
      <c r="P358" s="16" t="n"/>
    </row>
    <row r="359">
      <c r="A359" s="15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5" t="n"/>
      <c r="M359" s="17" t="n"/>
      <c r="N359" s="15" t="n"/>
      <c r="O359" s="14">
        <f>IF(AND(L359&lt;&gt;"",L359&lt;=TODAY(),J359&lt;&gt;"Sin interés"),"Contactar","")</f>
        <v/>
      </c>
      <c r="P359" s="16" t="n"/>
    </row>
    <row r="360">
      <c r="A360" s="15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5" t="n"/>
      <c r="M360" s="17" t="n"/>
      <c r="N360" s="15" t="n"/>
      <c r="O360" s="14">
        <f>IF(AND(L360&lt;&gt;"",L360&lt;=TODAY(),J360&lt;&gt;"Sin interés"),"Contactar","")</f>
        <v/>
      </c>
      <c r="P360" s="16" t="n"/>
    </row>
    <row r="361">
      <c r="A361" s="15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5" t="n"/>
      <c r="M361" s="17" t="n"/>
      <c r="N361" s="15" t="n"/>
      <c r="O361" s="14">
        <f>IF(AND(L361&lt;&gt;"",L361&lt;=TODAY(),J361&lt;&gt;"Sin interés"),"Contactar","")</f>
        <v/>
      </c>
      <c r="P361" s="16" t="n"/>
    </row>
    <row r="362">
      <c r="A362" s="15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5" t="n"/>
      <c r="M362" s="17" t="n"/>
      <c r="N362" s="15" t="n"/>
      <c r="O362" s="14">
        <f>IF(AND(L362&lt;&gt;"",L362&lt;=TODAY(),J362&lt;&gt;"Sin interés"),"Contactar","")</f>
        <v/>
      </c>
      <c r="P362" s="16" t="n"/>
    </row>
    <row r="363">
      <c r="A363" s="15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5" t="n"/>
      <c r="M363" s="17" t="n"/>
      <c r="N363" s="15" t="n"/>
      <c r="O363" s="14">
        <f>IF(AND(L363&lt;&gt;"",L363&lt;=TODAY(),J363&lt;&gt;"Sin interés"),"Contactar","")</f>
        <v/>
      </c>
      <c r="P363" s="16" t="n"/>
    </row>
    <row r="364">
      <c r="A364" s="15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5" t="n"/>
      <c r="M364" s="17" t="n"/>
      <c r="N364" s="15" t="n"/>
      <c r="O364" s="14">
        <f>IF(AND(L364&lt;&gt;"",L364&lt;=TODAY(),J364&lt;&gt;"Sin interés"),"Contactar","")</f>
        <v/>
      </c>
      <c r="P364" s="16" t="n"/>
    </row>
    <row r="365">
      <c r="A365" s="15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5" t="n"/>
      <c r="M365" s="17" t="n"/>
      <c r="N365" s="15" t="n"/>
      <c r="O365" s="14">
        <f>IF(AND(L365&lt;&gt;"",L365&lt;=TODAY(),J365&lt;&gt;"Sin interés"),"Contactar","")</f>
        <v/>
      </c>
      <c r="P365" s="16" t="n"/>
    </row>
    <row r="366">
      <c r="A366" s="15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5" t="n"/>
      <c r="M366" s="17" t="n"/>
      <c r="N366" s="15" t="n"/>
      <c r="O366" s="14">
        <f>IF(AND(L366&lt;&gt;"",L366&lt;=TODAY(),J366&lt;&gt;"Sin interés"),"Contactar","")</f>
        <v/>
      </c>
      <c r="P366" s="16" t="n"/>
    </row>
    <row r="367">
      <c r="A367" s="15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5" t="n"/>
      <c r="M367" s="17" t="n"/>
      <c r="N367" s="15" t="n"/>
      <c r="O367" s="14">
        <f>IF(AND(L367&lt;&gt;"",L367&lt;=TODAY(),J367&lt;&gt;"Sin interés"),"Contactar","")</f>
        <v/>
      </c>
      <c r="P367" s="16" t="n"/>
    </row>
    <row r="368">
      <c r="A368" s="15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5" t="n"/>
      <c r="M368" s="17" t="n"/>
      <c r="N368" s="15" t="n"/>
      <c r="O368" s="14">
        <f>IF(AND(L368&lt;&gt;"",L368&lt;=TODAY(),J368&lt;&gt;"Sin interés"),"Contactar","")</f>
        <v/>
      </c>
      <c r="P368" s="16" t="n"/>
    </row>
    <row r="369">
      <c r="A369" s="15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5" t="n"/>
      <c r="M369" s="17" t="n"/>
      <c r="N369" s="15" t="n"/>
      <c r="O369" s="14">
        <f>IF(AND(L369&lt;&gt;"",L369&lt;=TODAY(),J369&lt;&gt;"Sin interés"),"Contactar","")</f>
        <v/>
      </c>
      <c r="P369" s="16" t="n"/>
    </row>
    <row r="370">
      <c r="A370" s="15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5" t="n"/>
      <c r="M370" s="17" t="n"/>
      <c r="N370" s="15" t="n"/>
      <c r="O370" s="14">
        <f>IF(AND(L370&lt;&gt;"",L370&lt;=TODAY(),J370&lt;&gt;"Sin interés"),"Contactar","")</f>
        <v/>
      </c>
      <c r="P370" s="16" t="n"/>
    </row>
    <row r="371">
      <c r="A371" s="15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5" t="n"/>
      <c r="M371" s="17" t="n"/>
      <c r="N371" s="15" t="n"/>
      <c r="O371" s="14">
        <f>IF(AND(L371&lt;&gt;"",L371&lt;=TODAY(),J371&lt;&gt;"Sin interés"),"Contactar","")</f>
        <v/>
      </c>
      <c r="P371" s="16" t="n"/>
    </row>
    <row r="372">
      <c r="A372" s="15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5" t="n"/>
      <c r="M372" s="17" t="n"/>
      <c r="N372" s="15" t="n"/>
      <c r="O372" s="14">
        <f>IF(AND(L372&lt;&gt;"",L372&lt;=TODAY(),J372&lt;&gt;"Sin interés"),"Contactar","")</f>
        <v/>
      </c>
      <c r="P372" s="16" t="n"/>
    </row>
    <row r="373">
      <c r="A373" s="15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5" t="n"/>
      <c r="M373" s="17" t="n"/>
      <c r="N373" s="15" t="n"/>
      <c r="O373" s="14">
        <f>IF(AND(L373&lt;&gt;"",L373&lt;=TODAY(),J373&lt;&gt;"Sin interés"),"Contactar","")</f>
        <v/>
      </c>
      <c r="P373" s="16" t="n"/>
    </row>
    <row r="374">
      <c r="A374" s="15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5" t="n"/>
      <c r="M374" s="17" t="n"/>
      <c r="N374" s="15" t="n"/>
      <c r="O374" s="14">
        <f>IF(AND(L374&lt;&gt;"",L374&lt;=TODAY(),J374&lt;&gt;"Sin interés"),"Contactar","")</f>
        <v/>
      </c>
      <c r="P374" s="16" t="n"/>
    </row>
    <row r="375">
      <c r="A375" s="15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5" t="n"/>
      <c r="M375" s="17" t="n"/>
      <c r="N375" s="15" t="n"/>
      <c r="O375" s="14">
        <f>IF(AND(L375&lt;&gt;"",L375&lt;=TODAY(),J375&lt;&gt;"Sin interés"),"Contactar","")</f>
        <v/>
      </c>
      <c r="P375" s="16" t="n"/>
    </row>
    <row r="376">
      <c r="A376" s="15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5" t="n"/>
      <c r="M376" s="17" t="n"/>
      <c r="N376" s="15" t="n"/>
      <c r="O376" s="14">
        <f>IF(AND(L376&lt;&gt;"",L376&lt;=TODAY(),J376&lt;&gt;"Sin interés"),"Contactar","")</f>
        <v/>
      </c>
      <c r="P376" s="16" t="n"/>
    </row>
    <row r="377">
      <c r="A377" s="15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5" t="n"/>
      <c r="M377" s="17" t="n"/>
      <c r="N377" s="15" t="n"/>
      <c r="O377" s="14">
        <f>IF(AND(L377&lt;&gt;"",L377&lt;=TODAY(),J377&lt;&gt;"Sin interés"),"Contactar","")</f>
        <v/>
      </c>
      <c r="P377" s="16" t="n"/>
    </row>
    <row r="378">
      <c r="A378" s="15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5" t="n"/>
      <c r="M378" s="17" t="n"/>
      <c r="N378" s="15" t="n"/>
      <c r="O378" s="14">
        <f>IF(AND(L378&lt;&gt;"",L378&lt;=TODAY(),J378&lt;&gt;"Sin interés"),"Contactar","")</f>
        <v/>
      </c>
      <c r="P378" s="16" t="n"/>
    </row>
    <row r="379">
      <c r="A379" s="15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5" t="n"/>
      <c r="M379" s="17" t="n"/>
      <c r="N379" s="15" t="n"/>
      <c r="O379" s="14">
        <f>IF(AND(L379&lt;&gt;"",L379&lt;=TODAY(),J379&lt;&gt;"Sin interés"),"Contactar","")</f>
        <v/>
      </c>
      <c r="P379" s="16" t="n"/>
    </row>
    <row r="380">
      <c r="A380" s="15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5" t="n"/>
      <c r="M380" s="17" t="n"/>
      <c r="N380" s="15" t="n"/>
      <c r="O380" s="14">
        <f>IF(AND(L380&lt;&gt;"",L380&lt;=TODAY(),J380&lt;&gt;"Sin interés"),"Contactar","")</f>
        <v/>
      </c>
      <c r="P380" s="16" t="n"/>
    </row>
    <row r="381">
      <c r="A381" s="15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5" t="n"/>
      <c r="M381" s="17" t="n"/>
      <c r="N381" s="15" t="n"/>
      <c r="O381" s="14">
        <f>IF(AND(L381&lt;&gt;"",L381&lt;=TODAY(),J381&lt;&gt;"Sin interés"),"Contactar","")</f>
        <v/>
      </c>
      <c r="P381" s="16" t="n"/>
    </row>
    <row r="382">
      <c r="A382" s="15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5" t="n"/>
      <c r="M382" s="17" t="n"/>
      <c r="N382" s="15" t="n"/>
      <c r="O382" s="14">
        <f>IF(AND(L382&lt;&gt;"",L382&lt;=TODAY(),J382&lt;&gt;"Sin interés"),"Contactar","")</f>
        <v/>
      </c>
      <c r="P382" s="16" t="n"/>
    </row>
    <row r="383">
      <c r="A383" s="15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5" t="n"/>
      <c r="M383" s="17" t="n"/>
      <c r="N383" s="15" t="n"/>
      <c r="O383" s="14">
        <f>IF(AND(L383&lt;&gt;"",L383&lt;=TODAY(),J383&lt;&gt;"Sin interés"),"Contactar","")</f>
        <v/>
      </c>
      <c r="P383" s="16" t="n"/>
    </row>
    <row r="384">
      <c r="A384" s="15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5" t="n"/>
      <c r="M384" s="17" t="n"/>
      <c r="N384" s="15" t="n"/>
      <c r="O384" s="14">
        <f>IF(AND(L384&lt;&gt;"",L384&lt;=TODAY(),J384&lt;&gt;"Sin interés"),"Contactar","")</f>
        <v/>
      </c>
      <c r="P384" s="16" t="n"/>
    </row>
    <row r="385">
      <c r="A385" s="15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5" t="n"/>
      <c r="M385" s="17" t="n"/>
      <c r="N385" s="15" t="n"/>
      <c r="O385" s="14">
        <f>IF(AND(L385&lt;&gt;"",L385&lt;=TODAY(),J385&lt;&gt;"Sin interés"),"Contactar","")</f>
        <v/>
      </c>
      <c r="P385" s="16" t="n"/>
    </row>
    <row r="386">
      <c r="A386" s="15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5" t="n"/>
      <c r="M386" s="17" t="n"/>
      <c r="N386" s="15" t="n"/>
      <c r="O386" s="14">
        <f>IF(AND(L386&lt;&gt;"",L386&lt;=TODAY(),J386&lt;&gt;"Sin interés"),"Contactar","")</f>
        <v/>
      </c>
      <c r="P386" s="16" t="n"/>
    </row>
    <row r="387">
      <c r="A387" s="15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5" t="n"/>
      <c r="M387" s="17" t="n"/>
      <c r="N387" s="15" t="n"/>
      <c r="O387" s="14">
        <f>IF(AND(L387&lt;&gt;"",L387&lt;=TODAY(),J387&lt;&gt;"Sin interés"),"Contactar","")</f>
        <v/>
      </c>
      <c r="P387" s="16" t="n"/>
    </row>
    <row r="388">
      <c r="A388" s="15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5" t="n"/>
      <c r="M388" s="17" t="n"/>
      <c r="N388" s="15" t="n"/>
      <c r="O388" s="14">
        <f>IF(AND(L388&lt;&gt;"",L388&lt;=TODAY(),J388&lt;&gt;"Sin interés"),"Contactar","")</f>
        <v/>
      </c>
      <c r="P388" s="16" t="n"/>
    </row>
    <row r="389">
      <c r="A389" s="15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5" t="n"/>
      <c r="M389" s="17" t="n"/>
      <c r="N389" s="15" t="n"/>
      <c r="O389" s="14">
        <f>IF(AND(L389&lt;&gt;"",L389&lt;=TODAY(),J389&lt;&gt;"Sin interés"),"Contactar","")</f>
        <v/>
      </c>
      <c r="P389" s="16" t="n"/>
    </row>
    <row r="390">
      <c r="A390" s="15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5" t="n"/>
      <c r="M390" s="17" t="n"/>
      <c r="N390" s="15" t="n"/>
      <c r="O390" s="14">
        <f>IF(AND(L390&lt;&gt;"",L390&lt;=TODAY(),J390&lt;&gt;"Sin interés"),"Contactar","")</f>
        <v/>
      </c>
      <c r="P390" s="16" t="n"/>
    </row>
    <row r="391">
      <c r="A391" s="15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5" t="n"/>
      <c r="M391" s="17" t="n"/>
      <c r="N391" s="15" t="n"/>
      <c r="O391" s="14">
        <f>IF(AND(L391&lt;&gt;"",L391&lt;=TODAY(),J391&lt;&gt;"Sin interés"),"Contactar","")</f>
        <v/>
      </c>
      <c r="P391" s="16" t="n"/>
    </row>
    <row r="392">
      <c r="A392" s="15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5" t="n"/>
      <c r="M392" s="17" t="n"/>
      <c r="N392" s="15" t="n"/>
      <c r="O392" s="14">
        <f>IF(AND(L392&lt;&gt;"",L392&lt;=TODAY(),J392&lt;&gt;"Sin interés"),"Contactar","")</f>
        <v/>
      </c>
      <c r="P392" s="16" t="n"/>
    </row>
    <row r="393">
      <c r="A393" s="15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5" t="n"/>
      <c r="M393" s="17" t="n"/>
      <c r="N393" s="15" t="n"/>
      <c r="O393" s="14">
        <f>IF(AND(L393&lt;&gt;"",L393&lt;=TODAY(),J393&lt;&gt;"Sin interés"),"Contactar","")</f>
        <v/>
      </c>
      <c r="P393" s="16" t="n"/>
    </row>
    <row r="394">
      <c r="A394" s="15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5" t="n"/>
      <c r="M394" s="17" t="n"/>
      <c r="N394" s="15" t="n"/>
      <c r="O394" s="14">
        <f>IF(AND(L394&lt;&gt;"",L394&lt;=TODAY(),J394&lt;&gt;"Sin interés"),"Contactar","")</f>
        <v/>
      </c>
      <c r="P394" s="16" t="n"/>
    </row>
    <row r="395">
      <c r="A395" s="15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5" t="n"/>
      <c r="M395" s="17" t="n"/>
      <c r="N395" s="15" t="n"/>
      <c r="O395" s="14">
        <f>IF(AND(L395&lt;&gt;"",L395&lt;=TODAY(),J395&lt;&gt;"Sin interés"),"Contactar","")</f>
        <v/>
      </c>
      <c r="P395" s="16" t="n"/>
    </row>
    <row r="396">
      <c r="A396" s="15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5" t="n"/>
      <c r="M396" s="17" t="n"/>
      <c r="N396" s="15" t="n"/>
      <c r="O396" s="14">
        <f>IF(AND(L396&lt;&gt;"",L396&lt;=TODAY(),J396&lt;&gt;"Sin interés"),"Contactar","")</f>
        <v/>
      </c>
      <c r="P396" s="16" t="n"/>
    </row>
    <row r="397">
      <c r="A397" s="15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5" t="n"/>
      <c r="M397" s="17" t="n"/>
      <c r="N397" s="15" t="n"/>
      <c r="O397" s="14">
        <f>IF(AND(L397&lt;&gt;"",L397&lt;=TODAY(),J397&lt;&gt;"Sin interés"),"Contactar","")</f>
        <v/>
      </c>
      <c r="P397" s="16" t="n"/>
    </row>
    <row r="398">
      <c r="A398" s="15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5" t="n"/>
      <c r="M398" s="17" t="n"/>
      <c r="N398" s="15" t="n"/>
      <c r="O398" s="14">
        <f>IF(AND(L398&lt;&gt;"",L398&lt;=TODAY(),J398&lt;&gt;"Sin interés"),"Contactar","")</f>
        <v/>
      </c>
      <c r="P398" s="16" t="n"/>
    </row>
    <row r="399">
      <c r="A399" s="15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5" t="n"/>
      <c r="M399" s="17" t="n"/>
      <c r="N399" s="15" t="n"/>
      <c r="O399" s="14">
        <f>IF(AND(L399&lt;&gt;"",L399&lt;=TODAY(),J399&lt;&gt;"Sin interés"),"Contactar","")</f>
        <v/>
      </c>
      <c r="P399" s="16" t="n"/>
    </row>
    <row r="400">
      <c r="A400" s="15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5" t="n"/>
      <c r="M400" s="17" t="n"/>
      <c r="N400" s="15" t="n"/>
      <c r="O400" s="14">
        <f>IF(AND(L400&lt;&gt;"",L400&lt;=TODAY(),J400&lt;&gt;"Sin interés"),"Contactar","")</f>
        <v/>
      </c>
      <c r="P400" s="16" t="n"/>
    </row>
    <row r="401">
      <c r="A401" s="15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5" t="n"/>
      <c r="M401" s="17" t="n"/>
      <c r="N401" s="15" t="n"/>
      <c r="O401" s="14">
        <f>IF(AND(L401&lt;&gt;"",L401&lt;=TODAY(),J401&lt;&gt;"Sin interés"),"Contactar","")</f>
        <v/>
      </c>
      <c r="P401" s="16" t="n"/>
    </row>
  </sheetData>
  <autoFilter ref="A1:P401"/>
  <conditionalFormatting sqref="O2:O401">
    <cfRule type="cellIs" priority="1" operator="equal" dxfId="0">
      <formula>"Contactar"</formula>
    </cfRule>
  </conditionalFormatting>
  <conditionalFormatting sqref="J2:J401">
    <cfRule type="cellIs" priority="2" operator="equal" dxfId="1">
      <formula>"Cliente"</formula>
    </cfRule>
    <cfRule type="cellIs" priority="3" operator="equal" dxfId="2">
      <formula>"Recurrente"</formula>
    </cfRule>
    <cfRule type="cellIs" priority="4" operator="equal" dxfId="3">
      <formula>"Cotizado"</formula>
    </cfRule>
    <cfRule type="cellIs" priority="5" operator="equal" dxfId="4">
      <formula>"Sin interés"</formula>
    </cfRule>
  </conditionalFormatting>
  <dataValidations count="5">
    <dataValidation sqref="C2:C401" showDropDown="0" showInputMessage="0" showErrorMessage="1" allowBlank="1" errorTitle="Valor no válido" error="Elegí una opción de la lista." type="list">
      <formula1>=Listas!$A$2:$A$10</formula1>
    </dataValidation>
    <dataValidation sqref="D2:D401" showDropDown="0" showInputMessage="0" showErrorMessage="1" allowBlank="1" errorTitle="Valor no válido" error="Elegí una opción de la lista." type="list">
      <formula1>=Listas!$B$2:$B$6</formula1>
    </dataValidation>
    <dataValidation sqref="H2:H401" showDropDown="0" showInputMessage="0" showErrorMessage="1" allowBlank="1" errorTitle="Valor no válido" error="Elegí una opción de la lista." type="list">
      <formula1>=Listas!$C$2:$C$13</formula1>
    </dataValidation>
    <dataValidation sqref="I2:I401" showDropDown="0" showInputMessage="0" showErrorMessage="1" allowBlank="1" errorTitle="Valor no válido" error="Elegí una opción de la lista." type="list">
      <formula1>=Listas!$D$2:$D$9</formula1>
    </dataValidation>
    <dataValidation sqref="J2:J401" showDropDown="0" showInputMessage="0" showErrorMessage="1" allowBlank="1" errorTitle="Valor no válido" error="Elegí una opción de la lista." type="list">
      <formula1>=Listas!$E$2:$E$8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5" customWidth="1" min="5" max="5"/>
    <col width="18" customWidth="1" min="6" max="6"/>
    <col width="15" customWidth="1" min="7" max="7"/>
    <col width="40" customWidth="1" min="8" max="8"/>
  </cols>
  <sheetData>
    <row r="1" ht="30" customHeight="1">
      <c r="A1" s="9" t="inlineStr">
        <is>
          <t>Fecha</t>
        </is>
      </c>
      <c r="B1" s="9" t="inlineStr">
        <is>
          <t>Negocio</t>
        </is>
      </c>
      <c r="C1" s="9" t="inlineStr">
        <is>
          <t>Zona</t>
        </is>
      </c>
      <c r="D1" s="9" t="inlineStr">
        <is>
          <t>Tipo</t>
        </is>
      </c>
      <c r="E1" s="9" t="inlineStr">
        <is>
          <t>Qué le dejé</t>
        </is>
      </c>
      <c r="F1" s="9" t="inlineStr">
        <is>
          <t>Resultado</t>
        </is>
      </c>
      <c r="G1" s="9" t="inlineStr">
        <is>
          <t>Monto del pedido ($)</t>
        </is>
      </c>
      <c r="H1" s="9" t="inlineStr">
        <is>
          <t>Notas</t>
        </is>
      </c>
    </row>
    <row r="2">
      <c r="A2" s="10" t="n">
        <v>46307</v>
      </c>
      <c r="B2" s="11" t="inlineStr">
        <is>
          <t>Rotisería de ejemplo (borrar)</t>
        </is>
      </c>
      <c r="C2" s="11" t="inlineStr">
        <is>
          <t>GBA Sur</t>
        </is>
      </c>
      <c r="D2" s="11" t="inlineStr">
        <is>
          <t>Visita</t>
        </is>
      </c>
      <c r="E2" s="11" t="inlineStr">
        <is>
          <t>Muestra + imán</t>
        </is>
      </c>
      <c r="F2" s="11" t="inlineStr">
        <is>
          <t>Volver a pasar</t>
        </is>
      </c>
      <c r="G2" s="18" t="n"/>
      <c r="H2" s="11" t="inlineStr">
        <is>
          <t>Lo atendió el encargado; el dueño está a la tarde.</t>
        </is>
      </c>
    </row>
    <row r="3">
      <c r="A3" s="15" t="n"/>
      <c r="B3" s="16" t="n"/>
      <c r="C3" s="16" t="n"/>
      <c r="D3" s="16" t="n"/>
      <c r="E3" s="16" t="n"/>
      <c r="F3" s="16" t="n"/>
      <c r="G3" s="17" t="n"/>
      <c r="H3" s="16" t="n"/>
    </row>
    <row r="4">
      <c r="A4" s="15" t="n"/>
      <c r="B4" s="16" t="n"/>
      <c r="C4" s="16" t="n"/>
      <c r="D4" s="16" t="n"/>
      <c r="E4" s="16" t="n"/>
      <c r="F4" s="16" t="n"/>
      <c r="G4" s="17" t="n"/>
      <c r="H4" s="16" t="n"/>
    </row>
    <row r="5">
      <c r="A5" s="15" t="n"/>
      <c r="B5" s="16" t="n"/>
      <c r="C5" s="16" t="n"/>
      <c r="D5" s="16" t="n"/>
      <c r="E5" s="16" t="n"/>
      <c r="F5" s="16" t="n"/>
      <c r="G5" s="17" t="n"/>
      <c r="H5" s="16" t="n"/>
    </row>
    <row r="6">
      <c r="A6" s="15" t="n"/>
      <c r="B6" s="16" t="n"/>
      <c r="C6" s="16" t="n"/>
      <c r="D6" s="16" t="n"/>
      <c r="E6" s="16" t="n"/>
      <c r="F6" s="16" t="n"/>
      <c r="G6" s="17" t="n"/>
      <c r="H6" s="16" t="n"/>
    </row>
    <row r="7">
      <c r="A7" s="15" t="n"/>
      <c r="B7" s="16" t="n"/>
      <c r="C7" s="16" t="n"/>
      <c r="D7" s="16" t="n"/>
      <c r="E7" s="16" t="n"/>
      <c r="F7" s="16" t="n"/>
      <c r="G7" s="17" t="n"/>
      <c r="H7" s="16" t="n"/>
    </row>
    <row r="8">
      <c r="A8" s="15" t="n"/>
      <c r="B8" s="16" t="n"/>
      <c r="C8" s="16" t="n"/>
      <c r="D8" s="16" t="n"/>
      <c r="E8" s="16" t="n"/>
      <c r="F8" s="16" t="n"/>
      <c r="G8" s="17" t="n"/>
      <c r="H8" s="16" t="n"/>
    </row>
    <row r="9">
      <c r="A9" s="15" t="n"/>
      <c r="B9" s="16" t="n"/>
      <c r="C9" s="16" t="n"/>
      <c r="D9" s="16" t="n"/>
      <c r="E9" s="16" t="n"/>
      <c r="F9" s="16" t="n"/>
      <c r="G9" s="17" t="n"/>
      <c r="H9" s="16" t="n"/>
    </row>
    <row r="10">
      <c r="A10" s="15" t="n"/>
      <c r="B10" s="16" t="n"/>
      <c r="C10" s="16" t="n"/>
      <c r="D10" s="16" t="n"/>
      <c r="E10" s="16" t="n"/>
      <c r="F10" s="16" t="n"/>
      <c r="G10" s="17" t="n"/>
      <c r="H10" s="16" t="n"/>
    </row>
    <row r="11">
      <c r="A11" s="15" t="n"/>
      <c r="B11" s="16" t="n"/>
      <c r="C11" s="16" t="n"/>
      <c r="D11" s="16" t="n"/>
      <c r="E11" s="16" t="n"/>
      <c r="F11" s="16" t="n"/>
      <c r="G11" s="17" t="n"/>
      <c r="H11" s="16" t="n"/>
    </row>
    <row r="12">
      <c r="A12" s="15" t="n"/>
      <c r="B12" s="16" t="n"/>
      <c r="C12" s="16" t="n"/>
      <c r="D12" s="16" t="n"/>
      <c r="E12" s="16" t="n"/>
      <c r="F12" s="16" t="n"/>
      <c r="G12" s="17" t="n"/>
      <c r="H12" s="16" t="n"/>
    </row>
    <row r="13">
      <c r="A13" s="15" t="n"/>
      <c r="B13" s="16" t="n"/>
      <c r="C13" s="16" t="n"/>
      <c r="D13" s="16" t="n"/>
      <c r="E13" s="16" t="n"/>
      <c r="F13" s="16" t="n"/>
      <c r="G13" s="17" t="n"/>
      <c r="H13" s="16" t="n"/>
    </row>
    <row r="14">
      <c r="A14" s="15" t="n"/>
      <c r="B14" s="16" t="n"/>
      <c r="C14" s="16" t="n"/>
      <c r="D14" s="16" t="n"/>
      <c r="E14" s="16" t="n"/>
      <c r="F14" s="16" t="n"/>
      <c r="G14" s="17" t="n"/>
      <c r="H14" s="16" t="n"/>
    </row>
    <row r="15">
      <c r="A15" s="15" t="n"/>
      <c r="B15" s="16" t="n"/>
      <c r="C15" s="16" t="n"/>
      <c r="D15" s="16" t="n"/>
      <c r="E15" s="16" t="n"/>
      <c r="F15" s="16" t="n"/>
      <c r="G15" s="17" t="n"/>
      <c r="H15" s="16" t="n"/>
    </row>
    <row r="16">
      <c r="A16" s="15" t="n"/>
      <c r="B16" s="16" t="n"/>
      <c r="C16" s="16" t="n"/>
      <c r="D16" s="16" t="n"/>
      <c r="E16" s="16" t="n"/>
      <c r="F16" s="16" t="n"/>
      <c r="G16" s="17" t="n"/>
      <c r="H16" s="16" t="n"/>
    </row>
    <row r="17">
      <c r="A17" s="15" t="n"/>
      <c r="B17" s="16" t="n"/>
      <c r="C17" s="16" t="n"/>
      <c r="D17" s="16" t="n"/>
      <c r="E17" s="16" t="n"/>
      <c r="F17" s="16" t="n"/>
      <c r="G17" s="17" t="n"/>
      <c r="H17" s="16" t="n"/>
    </row>
    <row r="18">
      <c r="A18" s="15" t="n"/>
      <c r="B18" s="16" t="n"/>
      <c r="C18" s="16" t="n"/>
      <c r="D18" s="16" t="n"/>
      <c r="E18" s="16" t="n"/>
      <c r="F18" s="16" t="n"/>
      <c r="G18" s="17" t="n"/>
      <c r="H18" s="16" t="n"/>
    </row>
    <row r="19">
      <c r="A19" s="15" t="n"/>
      <c r="B19" s="16" t="n"/>
      <c r="C19" s="16" t="n"/>
      <c r="D19" s="16" t="n"/>
      <c r="E19" s="16" t="n"/>
      <c r="F19" s="16" t="n"/>
      <c r="G19" s="17" t="n"/>
      <c r="H19" s="16" t="n"/>
    </row>
    <row r="20">
      <c r="A20" s="15" t="n"/>
      <c r="B20" s="16" t="n"/>
      <c r="C20" s="16" t="n"/>
      <c r="D20" s="16" t="n"/>
      <c r="E20" s="16" t="n"/>
      <c r="F20" s="16" t="n"/>
      <c r="G20" s="17" t="n"/>
      <c r="H20" s="16" t="n"/>
    </row>
    <row r="21">
      <c r="A21" s="15" t="n"/>
      <c r="B21" s="16" t="n"/>
      <c r="C21" s="16" t="n"/>
      <c r="D21" s="16" t="n"/>
      <c r="E21" s="16" t="n"/>
      <c r="F21" s="16" t="n"/>
      <c r="G21" s="17" t="n"/>
      <c r="H21" s="16" t="n"/>
    </row>
    <row r="22">
      <c r="A22" s="15" t="n"/>
      <c r="B22" s="16" t="n"/>
      <c r="C22" s="16" t="n"/>
      <c r="D22" s="16" t="n"/>
      <c r="E22" s="16" t="n"/>
      <c r="F22" s="16" t="n"/>
      <c r="G22" s="17" t="n"/>
      <c r="H22" s="16" t="n"/>
    </row>
    <row r="23">
      <c r="A23" s="15" t="n"/>
      <c r="B23" s="16" t="n"/>
      <c r="C23" s="16" t="n"/>
      <c r="D23" s="16" t="n"/>
      <c r="E23" s="16" t="n"/>
      <c r="F23" s="16" t="n"/>
      <c r="G23" s="17" t="n"/>
      <c r="H23" s="16" t="n"/>
    </row>
    <row r="24">
      <c r="A24" s="15" t="n"/>
      <c r="B24" s="16" t="n"/>
      <c r="C24" s="16" t="n"/>
      <c r="D24" s="16" t="n"/>
      <c r="E24" s="16" t="n"/>
      <c r="F24" s="16" t="n"/>
      <c r="G24" s="17" t="n"/>
      <c r="H24" s="16" t="n"/>
    </row>
    <row r="25">
      <c r="A25" s="15" t="n"/>
      <c r="B25" s="16" t="n"/>
      <c r="C25" s="16" t="n"/>
      <c r="D25" s="16" t="n"/>
      <c r="E25" s="16" t="n"/>
      <c r="F25" s="16" t="n"/>
      <c r="G25" s="17" t="n"/>
      <c r="H25" s="16" t="n"/>
    </row>
    <row r="26">
      <c r="A26" s="15" t="n"/>
      <c r="B26" s="16" t="n"/>
      <c r="C26" s="16" t="n"/>
      <c r="D26" s="16" t="n"/>
      <c r="E26" s="16" t="n"/>
      <c r="F26" s="16" t="n"/>
      <c r="G26" s="17" t="n"/>
      <c r="H26" s="16" t="n"/>
    </row>
    <row r="27">
      <c r="A27" s="15" t="n"/>
      <c r="B27" s="16" t="n"/>
      <c r="C27" s="16" t="n"/>
      <c r="D27" s="16" t="n"/>
      <c r="E27" s="16" t="n"/>
      <c r="F27" s="16" t="n"/>
      <c r="G27" s="17" t="n"/>
      <c r="H27" s="16" t="n"/>
    </row>
    <row r="28">
      <c r="A28" s="15" t="n"/>
      <c r="B28" s="16" t="n"/>
      <c r="C28" s="16" t="n"/>
      <c r="D28" s="16" t="n"/>
      <c r="E28" s="16" t="n"/>
      <c r="F28" s="16" t="n"/>
      <c r="G28" s="17" t="n"/>
      <c r="H28" s="16" t="n"/>
    </row>
    <row r="29">
      <c r="A29" s="15" t="n"/>
      <c r="B29" s="16" t="n"/>
      <c r="C29" s="16" t="n"/>
      <c r="D29" s="16" t="n"/>
      <c r="E29" s="16" t="n"/>
      <c r="F29" s="16" t="n"/>
      <c r="G29" s="17" t="n"/>
      <c r="H29" s="16" t="n"/>
    </row>
    <row r="30">
      <c r="A30" s="15" t="n"/>
      <c r="B30" s="16" t="n"/>
      <c r="C30" s="16" t="n"/>
      <c r="D30" s="16" t="n"/>
      <c r="E30" s="16" t="n"/>
      <c r="F30" s="16" t="n"/>
      <c r="G30" s="17" t="n"/>
      <c r="H30" s="16" t="n"/>
    </row>
    <row r="31">
      <c r="A31" s="15" t="n"/>
      <c r="B31" s="16" t="n"/>
      <c r="C31" s="16" t="n"/>
      <c r="D31" s="16" t="n"/>
      <c r="E31" s="16" t="n"/>
      <c r="F31" s="16" t="n"/>
      <c r="G31" s="17" t="n"/>
      <c r="H31" s="16" t="n"/>
    </row>
    <row r="32">
      <c r="A32" s="15" t="n"/>
      <c r="B32" s="16" t="n"/>
      <c r="C32" s="16" t="n"/>
      <c r="D32" s="16" t="n"/>
      <c r="E32" s="16" t="n"/>
      <c r="F32" s="16" t="n"/>
      <c r="G32" s="17" t="n"/>
      <c r="H32" s="16" t="n"/>
    </row>
    <row r="33">
      <c r="A33" s="15" t="n"/>
      <c r="B33" s="16" t="n"/>
      <c r="C33" s="16" t="n"/>
      <c r="D33" s="16" t="n"/>
      <c r="E33" s="16" t="n"/>
      <c r="F33" s="16" t="n"/>
      <c r="G33" s="17" t="n"/>
      <c r="H33" s="16" t="n"/>
    </row>
    <row r="34">
      <c r="A34" s="15" t="n"/>
      <c r="B34" s="16" t="n"/>
      <c r="C34" s="16" t="n"/>
      <c r="D34" s="16" t="n"/>
      <c r="E34" s="16" t="n"/>
      <c r="F34" s="16" t="n"/>
      <c r="G34" s="17" t="n"/>
      <c r="H34" s="16" t="n"/>
    </row>
    <row r="35">
      <c r="A35" s="15" t="n"/>
      <c r="B35" s="16" t="n"/>
      <c r="C35" s="16" t="n"/>
      <c r="D35" s="16" t="n"/>
      <c r="E35" s="16" t="n"/>
      <c r="F35" s="16" t="n"/>
      <c r="G35" s="17" t="n"/>
      <c r="H35" s="16" t="n"/>
    </row>
    <row r="36">
      <c r="A36" s="15" t="n"/>
      <c r="B36" s="16" t="n"/>
      <c r="C36" s="16" t="n"/>
      <c r="D36" s="16" t="n"/>
      <c r="E36" s="16" t="n"/>
      <c r="F36" s="16" t="n"/>
      <c r="G36" s="17" t="n"/>
      <c r="H36" s="16" t="n"/>
    </row>
    <row r="37">
      <c r="A37" s="15" t="n"/>
      <c r="B37" s="16" t="n"/>
      <c r="C37" s="16" t="n"/>
      <c r="D37" s="16" t="n"/>
      <c r="E37" s="16" t="n"/>
      <c r="F37" s="16" t="n"/>
      <c r="G37" s="17" t="n"/>
      <c r="H37" s="16" t="n"/>
    </row>
    <row r="38">
      <c r="A38" s="15" t="n"/>
      <c r="B38" s="16" t="n"/>
      <c r="C38" s="16" t="n"/>
      <c r="D38" s="16" t="n"/>
      <c r="E38" s="16" t="n"/>
      <c r="F38" s="16" t="n"/>
      <c r="G38" s="17" t="n"/>
      <c r="H38" s="16" t="n"/>
    </row>
    <row r="39">
      <c r="A39" s="15" t="n"/>
      <c r="B39" s="16" t="n"/>
      <c r="C39" s="16" t="n"/>
      <c r="D39" s="16" t="n"/>
      <c r="E39" s="16" t="n"/>
      <c r="F39" s="16" t="n"/>
      <c r="G39" s="17" t="n"/>
      <c r="H39" s="16" t="n"/>
    </row>
    <row r="40">
      <c r="A40" s="15" t="n"/>
      <c r="B40" s="16" t="n"/>
      <c r="C40" s="16" t="n"/>
      <c r="D40" s="16" t="n"/>
      <c r="E40" s="16" t="n"/>
      <c r="F40" s="16" t="n"/>
      <c r="G40" s="17" t="n"/>
      <c r="H40" s="16" t="n"/>
    </row>
    <row r="41">
      <c r="A41" s="15" t="n"/>
      <c r="B41" s="16" t="n"/>
      <c r="C41" s="16" t="n"/>
      <c r="D41" s="16" t="n"/>
      <c r="E41" s="16" t="n"/>
      <c r="F41" s="16" t="n"/>
      <c r="G41" s="17" t="n"/>
      <c r="H41" s="16" t="n"/>
    </row>
    <row r="42">
      <c r="A42" s="15" t="n"/>
      <c r="B42" s="16" t="n"/>
      <c r="C42" s="16" t="n"/>
      <c r="D42" s="16" t="n"/>
      <c r="E42" s="16" t="n"/>
      <c r="F42" s="16" t="n"/>
      <c r="G42" s="17" t="n"/>
      <c r="H42" s="16" t="n"/>
    </row>
    <row r="43">
      <c r="A43" s="15" t="n"/>
      <c r="B43" s="16" t="n"/>
      <c r="C43" s="16" t="n"/>
      <c r="D43" s="16" t="n"/>
      <c r="E43" s="16" t="n"/>
      <c r="F43" s="16" t="n"/>
      <c r="G43" s="17" t="n"/>
      <c r="H43" s="16" t="n"/>
    </row>
    <row r="44">
      <c r="A44" s="15" t="n"/>
      <c r="B44" s="16" t="n"/>
      <c r="C44" s="16" t="n"/>
      <c r="D44" s="16" t="n"/>
      <c r="E44" s="16" t="n"/>
      <c r="F44" s="16" t="n"/>
      <c r="G44" s="17" t="n"/>
      <c r="H44" s="16" t="n"/>
    </row>
    <row r="45">
      <c r="A45" s="15" t="n"/>
      <c r="B45" s="16" t="n"/>
      <c r="C45" s="16" t="n"/>
      <c r="D45" s="16" t="n"/>
      <c r="E45" s="16" t="n"/>
      <c r="F45" s="16" t="n"/>
      <c r="G45" s="17" t="n"/>
      <c r="H45" s="16" t="n"/>
    </row>
    <row r="46">
      <c r="A46" s="15" t="n"/>
      <c r="B46" s="16" t="n"/>
      <c r="C46" s="16" t="n"/>
      <c r="D46" s="16" t="n"/>
      <c r="E46" s="16" t="n"/>
      <c r="F46" s="16" t="n"/>
      <c r="G46" s="17" t="n"/>
      <c r="H46" s="16" t="n"/>
    </row>
    <row r="47">
      <c r="A47" s="15" t="n"/>
      <c r="B47" s="16" t="n"/>
      <c r="C47" s="16" t="n"/>
      <c r="D47" s="16" t="n"/>
      <c r="E47" s="16" t="n"/>
      <c r="F47" s="16" t="n"/>
      <c r="G47" s="17" t="n"/>
      <c r="H47" s="16" t="n"/>
    </row>
    <row r="48">
      <c r="A48" s="15" t="n"/>
      <c r="B48" s="16" t="n"/>
      <c r="C48" s="16" t="n"/>
      <c r="D48" s="16" t="n"/>
      <c r="E48" s="16" t="n"/>
      <c r="F48" s="16" t="n"/>
      <c r="G48" s="17" t="n"/>
      <c r="H48" s="16" t="n"/>
    </row>
    <row r="49">
      <c r="A49" s="15" t="n"/>
      <c r="B49" s="16" t="n"/>
      <c r="C49" s="16" t="n"/>
      <c r="D49" s="16" t="n"/>
      <c r="E49" s="16" t="n"/>
      <c r="F49" s="16" t="n"/>
      <c r="G49" s="17" t="n"/>
      <c r="H49" s="16" t="n"/>
    </row>
    <row r="50">
      <c r="A50" s="15" t="n"/>
      <c r="B50" s="16" t="n"/>
      <c r="C50" s="16" t="n"/>
      <c r="D50" s="16" t="n"/>
      <c r="E50" s="16" t="n"/>
      <c r="F50" s="16" t="n"/>
      <c r="G50" s="17" t="n"/>
      <c r="H50" s="16" t="n"/>
    </row>
    <row r="51">
      <c r="A51" s="15" t="n"/>
      <c r="B51" s="16" t="n"/>
      <c r="C51" s="16" t="n"/>
      <c r="D51" s="16" t="n"/>
      <c r="E51" s="16" t="n"/>
      <c r="F51" s="16" t="n"/>
      <c r="G51" s="17" t="n"/>
      <c r="H51" s="16" t="n"/>
    </row>
    <row r="52">
      <c r="A52" s="15" t="n"/>
      <c r="B52" s="16" t="n"/>
      <c r="C52" s="16" t="n"/>
      <c r="D52" s="16" t="n"/>
      <c r="E52" s="16" t="n"/>
      <c r="F52" s="16" t="n"/>
      <c r="G52" s="17" t="n"/>
      <c r="H52" s="16" t="n"/>
    </row>
    <row r="53">
      <c r="A53" s="15" t="n"/>
      <c r="B53" s="16" t="n"/>
      <c r="C53" s="16" t="n"/>
      <c r="D53" s="16" t="n"/>
      <c r="E53" s="16" t="n"/>
      <c r="F53" s="16" t="n"/>
      <c r="G53" s="17" t="n"/>
      <c r="H53" s="16" t="n"/>
    </row>
    <row r="54">
      <c r="A54" s="15" t="n"/>
      <c r="B54" s="16" t="n"/>
      <c r="C54" s="16" t="n"/>
      <c r="D54" s="16" t="n"/>
      <c r="E54" s="16" t="n"/>
      <c r="F54" s="16" t="n"/>
      <c r="G54" s="17" t="n"/>
      <c r="H54" s="16" t="n"/>
    </row>
    <row r="55">
      <c r="A55" s="15" t="n"/>
      <c r="B55" s="16" t="n"/>
      <c r="C55" s="16" t="n"/>
      <c r="D55" s="16" t="n"/>
      <c r="E55" s="16" t="n"/>
      <c r="F55" s="16" t="n"/>
      <c r="G55" s="17" t="n"/>
      <c r="H55" s="16" t="n"/>
    </row>
    <row r="56">
      <c r="A56" s="15" t="n"/>
      <c r="B56" s="16" t="n"/>
      <c r="C56" s="16" t="n"/>
      <c r="D56" s="16" t="n"/>
      <c r="E56" s="16" t="n"/>
      <c r="F56" s="16" t="n"/>
      <c r="G56" s="17" t="n"/>
      <c r="H56" s="16" t="n"/>
    </row>
    <row r="57">
      <c r="A57" s="15" t="n"/>
      <c r="B57" s="16" t="n"/>
      <c r="C57" s="16" t="n"/>
      <c r="D57" s="16" t="n"/>
      <c r="E57" s="16" t="n"/>
      <c r="F57" s="16" t="n"/>
      <c r="G57" s="17" t="n"/>
      <c r="H57" s="16" t="n"/>
    </row>
    <row r="58">
      <c r="A58" s="15" t="n"/>
      <c r="B58" s="16" t="n"/>
      <c r="C58" s="16" t="n"/>
      <c r="D58" s="16" t="n"/>
      <c r="E58" s="16" t="n"/>
      <c r="F58" s="16" t="n"/>
      <c r="G58" s="17" t="n"/>
      <c r="H58" s="16" t="n"/>
    </row>
    <row r="59">
      <c r="A59" s="15" t="n"/>
      <c r="B59" s="16" t="n"/>
      <c r="C59" s="16" t="n"/>
      <c r="D59" s="16" t="n"/>
      <c r="E59" s="16" t="n"/>
      <c r="F59" s="16" t="n"/>
      <c r="G59" s="17" t="n"/>
      <c r="H59" s="16" t="n"/>
    </row>
    <row r="60">
      <c r="A60" s="15" t="n"/>
      <c r="B60" s="16" t="n"/>
      <c r="C60" s="16" t="n"/>
      <c r="D60" s="16" t="n"/>
      <c r="E60" s="16" t="n"/>
      <c r="F60" s="16" t="n"/>
      <c r="G60" s="17" t="n"/>
      <c r="H60" s="16" t="n"/>
    </row>
    <row r="61">
      <c r="A61" s="15" t="n"/>
      <c r="B61" s="16" t="n"/>
      <c r="C61" s="16" t="n"/>
      <c r="D61" s="16" t="n"/>
      <c r="E61" s="16" t="n"/>
      <c r="F61" s="16" t="n"/>
      <c r="G61" s="17" t="n"/>
      <c r="H61" s="16" t="n"/>
    </row>
    <row r="62">
      <c r="A62" s="15" t="n"/>
      <c r="B62" s="16" t="n"/>
      <c r="C62" s="16" t="n"/>
      <c r="D62" s="16" t="n"/>
      <c r="E62" s="16" t="n"/>
      <c r="F62" s="16" t="n"/>
      <c r="G62" s="17" t="n"/>
      <c r="H62" s="16" t="n"/>
    </row>
    <row r="63">
      <c r="A63" s="15" t="n"/>
      <c r="B63" s="16" t="n"/>
      <c r="C63" s="16" t="n"/>
      <c r="D63" s="16" t="n"/>
      <c r="E63" s="16" t="n"/>
      <c r="F63" s="16" t="n"/>
      <c r="G63" s="17" t="n"/>
      <c r="H63" s="16" t="n"/>
    </row>
    <row r="64">
      <c r="A64" s="15" t="n"/>
      <c r="B64" s="16" t="n"/>
      <c r="C64" s="16" t="n"/>
      <c r="D64" s="16" t="n"/>
      <c r="E64" s="16" t="n"/>
      <c r="F64" s="16" t="n"/>
      <c r="G64" s="17" t="n"/>
      <c r="H64" s="16" t="n"/>
    </row>
    <row r="65">
      <c r="A65" s="15" t="n"/>
      <c r="B65" s="16" t="n"/>
      <c r="C65" s="16" t="n"/>
      <c r="D65" s="16" t="n"/>
      <c r="E65" s="16" t="n"/>
      <c r="F65" s="16" t="n"/>
      <c r="G65" s="17" t="n"/>
      <c r="H65" s="16" t="n"/>
    </row>
    <row r="66">
      <c r="A66" s="15" t="n"/>
      <c r="B66" s="16" t="n"/>
      <c r="C66" s="16" t="n"/>
      <c r="D66" s="16" t="n"/>
      <c r="E66" s="16" t="n"/>
      <c r="F66" s="16" t="n"/>
      <c r="G66" s="17" t="n"/>
      <c r="H66" s="16" t="n"/>
    </row>
    <row r="67">
      <c r="A67" s="15" t="n"/>
      <c r="B67" s="16" t="n"/>
      <c r="C67" s="16" t="n"/>
      <c r="D67" s="16" t="n"/>
      <c r="E67" s="16" t="n"/>
      <c r="F67" s="16" t="n"/>
      <c r="G67" s="17" t="n"/>
      <c r="H67" s="16" t="n"/>
    </row>
    <row r="68">
      <c r="A68" s="15" t="n"/>
      <c r="B68" s="16" t="n"/>
      <c r="C68" s="16" t="n"/>
      <c r="D68" s="16" t="n"/>
      <c r="E68" s="16" t="n"/>
      <c r="F68" s="16" t="n"/>
      <c r="G68" s="17" t="n"/>
      <c r="H68" s="16" t="n"/>
    </row>
    <row r="69">
      <c r="A69" s="15" t="n"/>
      <c r="B69" s="16" t="n"/>
      <c r="C69" s="16" t="n"/>
      <c r="D69" s="16" t="n"/>
      <c r="E69" s="16" t="n"/>
      <c r="F69" s="16" t="n"/>
      <c r="G69" s="17" t="n"/>
      <c r="H69" s="16" t="n"/>
    </row>
    <row r="70">
      <c r="A70" s="15" t="n"/>
      <c r="B70" s="16" t="n"/>
      <c r="C70" s="16" t="n"/>
      <c r="D70" s="16" t="n"/>
      <c r="E70" s="16" t="n"/>
      <c r="F70" s="16" t="n"/>
      <c r="G70" s="17" t="n"/>
      <c r="H70" s="16" t="n"/>
    </row>
    <row r="71">
      <c r="A71" s="15" t="n"/>
      <c r="B71" s="16" t="n"/>
      <c r="C71" s="16" t="n"/>
      <c r="D71" s="16" t="n"/>
      <c r="E71" s="16" t="n"/>
      <c r="F71" s="16" t="n"/>
      <c r="G71" s="17" t="n"/>
      <c r="H71" s="16" t="n"/>
    </row>
    <row r="72">
      <c r="A72" s="15" t="n"/>
      <c r="B72" s="16" t="n"/>
      <c r="C72" s="16" t="n"/>
      <c r="D72" s="16" t="n"/>
      <c r="E72" s="16" t="n"/>
      <c r="F72" s="16" t="n"/>
      <c r="G72" s="17" t="n"/>
      <c r="H72" s="16" t="n"/>
    </row>
    <row r="73">
      <c r="A73" s="15" t="n"/>
      <c r="B73" s="16" t="n"/>
      <c r="C73" s="16" t="n"/>
      <c r="D73" s="16" t="n"/>
      <c r="E73" s="16" t="n"/>
      <c r="F73" s="16" t="n"/>
      <c r="G73" s="17" t="n"/>
      <c r="H73" s="16" t="n"/>
    </row>
    <row r="74">
      <c r="A74" s="15" t="n"/>
      <c r="B74" s="16" t="n"/>
      <c r="C74" s="16" t="n"/>
      <c r="D74" s="16" t="n"/>
      <c r="E74" s="16" t="n"/>
      <c r="F74" s="16" t="n"/>
      <c r="G74" s="17" t="n"/>
      <c r="H74" s="16" t="n"/>
    </row>
    <row r="75">
      <c r="A75" s="15" t="n"/>
      <c r="B75" s="16" t="n"/>
      <c r="C75" s="16" t="n"/>
      <c r="D75" s="16" t="n"/>
      <c r="E75" s="16" t="n"/>
      <c r="F75" s="16" t="n"/>
      <c r="G75" s="17" t="n"/>
      <c r="H75" s="16" t="n"/>
    </row>
    <row r="76">
      <c r="A76" s="15" t="n"/>
      <c r="B76" s="16" t="n"/>
      <c r="C76" s="16" t="n"/>
      <c r="D76" s="16" t="n"/>
      <c r="E76" s="16" t="n"/>
      <c r="F76" s="16" t="n"/>
      <c r="G76" s="17" t="n"/>
      <c r="H76" s="16" t="n"/>
    </row>
    <row r="77">
      <c r="A77" s="15" t="n"/>
      <c r="B77" s="16" t="n"/>
      <c r="C77" s="16" t="n"/>
      <c r="D77" s="16" t="n"/>
      <c r="E77" s="16" t="n"/>
      <c r="F77" s="16" t="n"/>
      <c r="G77" s="17" t="n"/>
      <c r="H77" s="16" t="n"/>
    </row>
    <row r="78">
      <c r="A78" s="15" t="n"/>
      <c r="B78" s="16" t="n"/>
      <c r="C78" s="16" t="n"/>
      <c r="D78" s="16" t="n"/>
      <c r="E78" s="16" t="n"/>
      <c r="F78" s="16" t="n"/>
      <c r="G78" s="17" t="n"/>
      <c r="H78" s="16" t="n"/>
    </row>
    <row r="79">
      <c r="A79" s="15" t="n"/>
      <c r="B79" s="16" t="n"/>
      <c r="C79" s="16" t="n"/>
      <c r="D79" s="16" t="n"/>
      <c r="E79" s="16" t="n"/>
      <c r="F79" s="16" t="n"/>
      <c r="G79" s="17" t="n"/>
      <c r="H79" s="16" t="n"/>
    </row>
    <row r="80">
      <c r="A80" s="15" t="n"/>
      <c r="B80" s="16" t="n"/>
      <c r="C80" s="16" t="n"/>
      <c r="D80" s="16" t="n"/>
      <c r="E80" s="16" t="n"/>
      <c r="F80" s="16" t="n"/>
      <c r="G80" s="17" t="n"/>
      <c r="H80" s="16" t="n"/>
    </row>
    <row r="81">
      <c r="A81" s="15" t="n"/>
      <c r="B81" s="16" t="n"/>
      <c r="C81" s="16" t="n"/>
      <c r="D81" s="16" t="n"/>
      <c r="E81" s="16" t="n"/>
      <c r="F81" s="16" t="n"/>
      <c r="G81" s="17" t="n"/>
      <c r="H81" s="16" t="n"/>
    </row>
    <row r="82">
      <c r="A82" s="15" t="n"/>
      <c r="B82" s="16" t="n"/>
      <c r="C82" s="16" t="n"/>
      <c r="D82" s="16" t="n"/>
      <c r="E82" s="16" t="n"/>
      <c r="F82" s="16" t="n"/>
      <c r="G82" s="17" t="n"/>
      <c r="H82" s="16" t="n"/>
    </row>
    <row r="83">
      <c r="A83" s="15" t="n"/>
      <c r="B83" s="16" t="n"/>
      <c r="C83" s="16" t="n"/>
      <c r="D83" s="16" t="n"/>
      <c r="E83" s="16" t="n"/>
      <c r="F83" s="16" t="n"/>
      <c r="G83" s="17" t="n"/>
      <c r="H83" s="16" t="n"/>
    </row>
    <row r="84">
      <c r="A84" s="15" t="n"/>
      <c r="B84" s="16" t="n"/>
      <c r="C84" s="16" t="n"/>
      <c r="D84" s="16" t="n"/>
      <c r="E84" s="16" t="n"/>
      <c r="F84" s="16" t="n"/>
      <c r="G84" s="17" t="n"/>
      <c r="H84" s="16" t="n"/>
    </row>
    <row r="85">
      <c r="A85" s="15" t="n"/>
      <c r="B85" s="16" t="n"/>
      <c r="C85" s="16" t="n"/>
      <c r="D85" s="16" t="n"/>
      <c r="E85" s="16" t="n"/>
      <c r="F85" s="16" t="n"/>
      <c r="G85" s="17" t="n"/>
      <c r="H85" s="16" t="n"/>
    </row>
    <row r="86">
      <c r="A86" s="15" t="n"/>
      <c r="B86" s="16" t="n"/>
      <c r="C86" s="16" t="n"/>
      <c r="D86" s="16" t="n"/>
      <c r="E86" s="16" t="n"/>
      <c r="F86" s="16" t="n"/>
      <c r="G86" s="17" t="n"/>
      <c r="H86" s="16" t="n"/>
    </row>
    <row r="87">
      <c r="A87" s="15" t="n"/>
      <c r="B87" s="16" t="n"/>
      <c r="C87" s="16" t="n"/>
      <c r="D87" s="16" t="n"/>
      <c r="E87" s="16" t="n"/>
      <c r="F87" s="16" t="n"/>
      <c r="G87" s="17" t="n"/>
      <c r="H87" s="16" t="n"/>
    </row>
    <row r="88">
      <c r="A88" s="15" t="n"/>
      <c r="B88" s="16" t="n"/>
      <c r="C88" s="16" t="n"/>
      <c r="D88" s="16" t="n"/>
      <c r="E88" s="16" t="n"/>
      <c r="F88" s="16" t="n"/>
      <c r="G88" s="17" t="n"/>
      <c r="H88" s="16" t="n"/>
    </row>
    <row r="89">
      <c r="A89" s="15" t="n"/>
      <c r="B89" s="16" t="n"/>
      <c r="C89" s="16" t="n"/>
      <c r="D89" s="16" t="n"/>
      <c r="E89" s="16" t="n"/>
      <c r="F89" s="16" t="n"/>
      <c r="G89" s="17" t="n"/>
      <c r="H89" s="16" t="n"/>
    </row>
    <row r="90">
      <c r="A90" s="15" t="n"/>
      <c r="B90" s="16" t="n"/>
      <c r="C90" s="16" t="n"/>
      <c r="D90" s="16" t="n"/>
      <c r="E90" s="16" t="n"/>
      <c r="F90" s="16" t="n"/>
      <c r="G90" s="17" t="n"/>
      <c r="H90" s="16" t="n"/>
    </row>
    <row r="91">
      <c r="A91" s="15" t="n"/>
      <c r="B91" s="16" t="n"/>
      <c r="C91" s="16" t="n"/>
      <c r="D91" s="16" t="n"/>
      <c r="E91" s="16" t="n"/>
      <c r="F91" s="16" t="n"/>
      <c r="G91" s="17" t="n"/>
      <c r="H91" s="16" t="n"/>
    </row>
    <row r="92">
      <c r="A92" s="15" t="n"/>
      <c r="B92" s="16" t="n"/>
      <c r="C92" s="16" t="n"/>
      <c r="D92" s="16" t="n"/>
      <c r="E92" s="16" t="n"/>
      <c r="F92" s="16" t="n"/>
      <c r="G92" s="17" t="n"/>
      <c r="H92" s="16" t="n"/>
    </row>
    <row r="93">
      <c r="A93" s="15" t="n"/>
      <c r="B93" s="16" t="n"/>
      <c r="C93" s="16" t="n"/>
      <c r="D93" s="16" t="n"/>
      <c r="E93" s="16" t="n"/>
      <c r="F93" s="16" t="n"/>
      <c r="G93" s="17" t="n"/>
      <c r="H93" s="16" t="n"/>
    </row>
    <row r="94">
      <c r="A94" s="15" t="n"/>
      <c r="B94" s="16" t="n"/>
      <c r="C94" s="16" t="n"/>
      <c r="D94" s="16" t="n"/>
      <c r="E94" s="16" t="n"/>
      <c r="F94" s="16" t="n"/>
      <c r="G94" s="17" t="n"/>
      <c r="H94" s="16" t="n"/>
    </row>
    <row r="95">
      <c r="A95" s="15" t="n"/>
      <c r="B95" s="16" t="n"/>
      <c r="C95" s="16" t="n"/>
      <c r="D95" s="16" t="n"/>
      <c r="E95" s="16" t="n"/>
      <c r="F95" s="16" t="n"/>
      <c r="G95" s="17" t="n"/>
      <c r="H95" s="16" t="n"/>
    </row>
    <row r="96">
      <c r="A96" s="15" t="n"/>
      <c r="B96" s="16" t="n"/>
      <c r="C96" s="16" t="n"/>
      <c r="D96" s="16" t="n"/>
      <c r="E96" s="16" t="n"/>
      <c r="F96" s="16" t="n"/>
      <c r="G96" s="17" t="n"/>
      <c r="H96" s="16" t="n"/>
    </row>
    <row r="97">
      <c r="A97" s="15" t="n"/>
      <c r="B97" s="16" t="n"/>
      <c r="C97" s="16" t="n"/>
      <c r="D97" s="16" t="n"/>
      <c r="E97" s="16" t="n"/>
      <c r="F97" s="16" t="n"/>
      <c r="G97" s="17" t="n"/>
      <c r="H97" s="16" t="n"/>
    </row>
    <row r="98">
      <c r="A98" s="15" t="n"/>
      <c r="B98" s="16" t="n"/>
      <c r="C98" s="16" t="n"/>
      <c r="D98" s="16" t="n"/>
      <c r="E98" s="16" t="n"/>
      <c r="F98" s="16" t="n"/>
      <c r="G98" s="17" t="n"/>
      <c r="H98" s="16" t="n"/>
    </row>
    <row r="99">
      <c r="A99" s="15" t="n"/>
      <c r="B99" s="16" t="n"/>
      <c r="C99" s="16" t="n"/>
      <c r="D99" s="16" t="n"/>
      <c r="E99" s="16" t="n"/>
      <c r="F99" s="16" t="n"/>
      <c r="G99" s="17" t="n"/>
      <c r="H99" s="16" t="n"/>
    </row>
    <row r="100">
      <c r="A100" s="15" t="n"/>
      <c r="B100" s="16" t="n"/>
      <c r="C100" s="16" t="n"/>
      <c r="D100" s="16" t="n"/>
      <c r="E100" s="16" t="n"/>
      <c r="F100" s="16" t="n"/>
      <c r="G100" s="17" t="n"/>
      <c r="H100" s="16" t="n"/>
    </row>
    <row r="101">
      <c r="A101" s="15" t="n"/>
      <c r="B101" s="16" t="n"/>
      <c r="C101" s="16" t="n"/>
      <c r="D101" s="16" t="n"/>
      <c r="E101" s="16" t="n"/>
      <c r="F101" s="16" t="n"/>
      <c r="G101" s="17" t="n"/>
      <c r="H101" s="16" t="n"/>
    </row>
    <row r="102">
      <c r="A102" s="15" t="n"/>
      <c r="B102" s="16" t="n"/>
      <c r="C102" s="16" t="n"/>
      <c r="D102" s="16" t="n"/>
      <c r="E102" s="16" t="n"/>
      <c r="F102" s="16" t="n"/>
      <c r="G102" s="17" t="n"/>
      <c r="H102" s="16" t="n"/>
    </row>
    <row r="103">
      <c r="A103" s="15" t="n"/>
      <c r="B103" s="16" t="n"/>
      <c r="C103" s="16" t="n"/>
      <c r="D103" s="16" t="n"/>
      <c r="E103" s="16" t="n"/>
      <c r="F103" s="16" t="n"/>
      <c r="G103" s="17" t="n"/>
      <c r="H103" s="16" t="n"/>
    </row>
    <row r="104">
      <c r="A104" s="15" t="n"/>
      <c r="B104" s="16" t="n"/>
      <c r="C104" s="16" t="n"/>
      <c r="D104" s="16" t="n"/>
      <c r="E104" s="16" t="n"/>
      <c r="F104" s="16" t="n"/>
      <c r="G104" s="17" t="n"/>
      <c r="H104" s="16" t="n"/>
    </row>
    <row r="105">
      <c r="A105" s="15" t="n"/>
      <c r="B105" s="16" t="n"/>
      <c r="C105" s="16" t="n"/>
      <c r="D105" s="16" t="n"/>
      <c r="E105" s="16" t="n"/>
      <c r="F105" s="16" t="n"/>
      <c r="G105" s="17" t="n"/>
      <c r="H105" s="16" t="n"/>
    </row>
    <row r="106">
      <c r="A106" s="15" t="n"/>
      <c r="B106" s="16" t="n"/>
      <c r="C106" s="16" t="n"/>
      <c r="D106" s="16" t="n"/>
      <c r="E106" s="16" t="n"/>
      <c r="F106" s="16" t="n"/>
      <c r="G106" s="17" t="n"/>
      <c r="H106" s="16" t="n"/>
    </row>
    <row r="107">
      <c r="A107" s="15" t="n"/>
      <c r="B107" s="16" t="n"/>
      <c r="C107" s="16" t="n"/>
      <c r="D107" s="16" t="n"/>
      <c r="E107" s="16" t="n"/>
      <c r="F107" s="16" t="n"/>
      <c r="G107" s="17" t="n"/>
      <c r="H107" s="16" t="n"/>
    </row>
    <row r="108">
      <c r="A108" s="15" t="n"/>
      <c r="B108" s="16" t="n"/>
      <c r="C108" s="16" t="n"/>
      <c r="D108" s="16" t="n"/>
      <c r="E108" s="16" t="n"/>
      <c r="F108" s="16" t="n"/>
      <c r="G108" s="17" t="n"/>
      <c r="H108" s="16" t="n"/>
    </row>
    <row r="109">
      <c r="A109" s="15" t="n"/>
      <c r="B109" s="16" t="n"/>
      <c r="C109" s="16" t="n"/>
      <c r="D109" s="16" t="n"/>
      <c r="E109" s="16" t="n"/>
      <c r="F109" s="16" t="n"/>
      <c r="G109" s="17" t="n"/>
      <c r="H109" s="16" t="n"/>
    </row>
    <row r="110">
      <c r="A110" s="15" t="n"/>
      <c r="B110" s="16" t="n"/>
      <c r="C110" s="16" t="n"/>
      <c r="D110" s="16" t="n"/>
      <c r="E110" s="16" t="n"/>
      <c r="F110" s="16" t="n"/>
      <c r="G110" s="17" t="n"/>
      <c r="H110" s="16" t="n"/>
    </row>
    <row r="111">
      <c r="A111" s="15" t="n"/>
      <c r="B111" s="16" t="n"/>
      <c r="C111" s="16" t="n"/>
      <c r="D111" s="16" t="n"/>
      <c r="E111" s="16" t="n"/>
      <c r="F111" s="16" t="n"/>
      <c r="G111" s="17" t="n"/>
      <c r="H111" s="16" t="n"/>
    </row>
    <row r="112">
      <c r="A112" s="15" t="n"/>
      <c r="B112" s="16" t="n"/>
      <c r="C112" s="16" t="n"/>
      <c r="D112" s="16" t="n"/>
      <c r="E112" s="16" t="n"/>
      <c r="F112" s="16" t="n"/>
      <c r="G112" s="17" t="n"/>
      <c r="H112" s="16" t="n"/>
    </row>
    <row r="113">
      <c r="A113" s="15" t="n"/>
      <c r="B113" s="16" t="n"/>
      <c r="C113" s="16" t="n"/>
      <c r="D113" s="16" t="n"/>
      <c r="E113" s="16" t="n"/>
      <c r="F113" s="16" t="n"/>
      <c r="G113" s="17" t="n"/>
      <c r="H113" s="16" t="n"/>
    </row>
    <row r="114">
      <c r="A114" s="15" t="n"/>
      <c r="B114" s="16" t="n"/>
      <c r="C114" s="16" t="n"/>
      <c r="D114" s="16" t="n"/>
      <c r="E114" s="16" t="n"/>
      <c r="F114" s="16" t="n"/>
      <c r="G114" s="17" t="n"/>
      <c r="H114" s="16" t="n"/>
    </row>
    <row r="115">
      <c r="A115" s="15" t="n"/>
      <c r="B115" s="16" t="n"/>
      <c r="C115" s="16" t="n"/>
      <c r="D115" s="16" t="n"/>
      <c r="E115" s="16" t="n"/>
      <c r="F115" s="16" t="n"/>
      <c r="G115" s="17" t="n"/>
      <c r="H115" s="16" t="n"/>
    </row>
    <row r="116">
      <c r="A116" s="15" t="n"/>
      <c r="B116" s="16" t="n"/>
      <c r="C116" s="16" t="n"/>
      <c r="D116" s="16" t="n"/>
      <c r="E116" s="16" t="n"/>
      <c r="F116" s="16" t="n"/>
      <c r="G116" s="17" t="n"/>
      <c r="H116" s="16" t="n"/>
    </row>
    <row r="117">
      <c r="A117" s="15" t="n"/>
      <c r="B117" s="16" t="n"/>
      <c r="C117" s="16" t="n"/>
      <c r="D117" s="16" t="n"/>
      <c r="E117" s="16" t="n"/>
      <c r="F117" s="16" t="n"/>
      <c r="G117" s="17" t="n"/>
      <c r="H117" s="16" t="n"/>
    </row>
    <row r="118">
      <c r="A118" s="15" t="n"/>
      <c r="B118" s="16" t="n"/>
      <c r="C118" s="16" t="n"/>
      <c r="D118" s="16" t="n"/>
      <c r="E118" s="16" t="n"/>
      <c r="F118" s="16" t="n"/>
      <c r="G118" s="17" t="n"/>
      <c r="H118" s="16" t="n"/>
    </row>
    <row r="119">
      <c r="A119" s="15" t="n"/>
      <c r="B119" s="16" t="n"/>
      <c r="C119" s="16" t="n"/>
      <c r="D119" s="16" t="n"/>
      <c r="E119" s="16" t="n"/>
      <c r="F119" s="16" t="n"/>
      <c r="G119" s="17" t="n"/>
      <c r="H119" s="16" t="n"/>
    </row>
    <row r="120">
      <c r="A120" s="15" t="n"/>
      <c r="B120" s="16" t="n"/>
      <c r="C120" s="16" t="n"/>
      <c r="D120" s="16" t="n"/>
      <c r="E120" s="16" t="n"/>
      <c r="F120" s="16" t="n"/>
      <c r="G120" s="17" t="n"/>
      <c r="H120" s="16" t="n"/>
    </row>
    <row r="121">
      <c r="A121" s="15" t="n"/>
      <c r="B121" s="16" t="n"/>
      <c r="C121" s="16" t="n"/>
      <c r="D121" s="16" t="n"/>
      <c r="E121" s="16" t="n"/>
      <c r="F121" s="16" t="n"/>
      <c r="G121" s="17" t="n"/>
      <c r="H121" s="16" t="n"/>
    </row>
    <row r="122">
      <c r="A122" s="15" t="n"/>
      <c r="B122" s="16" t="n"/>
      <c r="C122" s="16" t="n"/>
      <c r="D122" s="16" t="n"/>
      <c r="E122" s="16" t="n"/>
      <c r="F122" s="16" t="n"/>
      <c r="G122" s="17" t="n"/>
      <c r="H122" s="16" t="n"/>
    </row>
    <row r="123">
      <c r="A123" s="15" t="n"/>
      <c r="B123" s="16" t="n"/>
      <c r="C123" s="16" t="n"/>
      <c r="D123" s="16" t="n"/>
      <c r="E123" s="16" t="n"/>
      <c r="F123" s="16" t="n"/>
      <c r="G123" s="17" t="n"/>
      <c r="H123" s="16" t="n"/>
    </row>
    <row r="124">
      <c r="A124" s="15" t="n"/>
      <c r="B124" s="16" t="n"/>
      <c r="C124" s="16" t="n"/>
      <c r="D124" s="16" t="n"/>
      <c r="E124" s="16" t="n"/>
      <c r="F124" s="16" t="n"/>
      <c r="G124" s="17" t="n"/>
      <c r="H124" s="16" t="n"/>
    </row>
    <row r="125">
      <c r="A125" s="15" t="n"/>
      <c r="B125" s="16" t="n"/>
      <c r="C125" s="16" t="n"/>
      <c r="D125" s="16" t="n"/>
      <c r="E125" s="16" t="n"/>
      <c r="F125" s="16" t="n"/>
      <c r="G125" s="17" t="n"/>
      <c r="H125" s="16" t="n"/>
    </row>
    <row r="126">
      <c r="A126" s="15" t="n"/>
      <c r="B126" s="16" t="n"/>
      <c r="C126" s="16" t="n"/>
      <c r="D126" s="16" t="n"/>
      <c r="E126" s="16" t="n"/>
      <c r="F126" s="16" t="n"/>
      <c r="G126" s="17" t="n"/>
      <c r="H126" s="16" t="n"/>
    </row>
    <row r="127">
      <c r="A127" s="15" t="n"/>
      <c r="B127" s="16" t="n"/>
      <c r="C127" s="16" t="n"/>
      <c r="D127" s="16" t="n"/>
      <c r="E127" s="16" t="n"/>
      <c r="F127" s="16" t="n"/>
      <c r="G127" s="17" t="n"/>
      <c r="H127" s="16" t="n"/>
    </row>
    <row r="128">
      <c r="A128" s="15" t="n"/>
      <c r="B128" s="16" t="n"/>
      <c r="C128" s="16" t="n"/>
      <c r="D128" s="16" t="n"/>
      <c r="E128" s="16" t="n"/>
      <c r="F128" s="16" t="n"/>
      <c r="G128" s="17" t="n"/>
      <c r="H128" s="16" t="n"/>
    </row>
    <row r="129">
      <c r="A129" s="15" t="n"/>
      <c r="B129" s="16" t="n"/>
      <c r="C129" s="16" t="n"/>
      <c r="D129" s="16" t="n"/>
      <c r="E129" s="16" t="n"/>
      <c r="F129" s="16" t="n"/>
      <c r="G129" s="17" t="n"/>
      <c r="H129" s="16" t="n"/>
    </row>
    <row r="130">
      <c r="A130" s="15" t="n"/>
      <c r="B130" s="16" t="n"/>
      <c r="C130" s="16" t="n"/>
      <c r="D130" s="16" t="n"/>
      <c r="E130" s="16" t="n"/>
      <c r="F130" s="16" t="n"/>
      <c r="G130" s="17" t="n"/>
      <c r="H130" s="16" t="n"/>
    </row>
    <row r="131">
      <c r="A131" s="15" t="n"/>
      <c r="B131" s="16" t="n"/>
      <c r="C131" s="16" t="n"/>
      <c r="D131" s="16" t="n"/>
      <c r="E131" s="16" t="n"/>
      <c r="F131" s="16" t="n"/>
      <c r="G131" s="17" t="n"/>
      <c r="H131" s="16" t="n"/>
    </row>
    <row r="132">
      <c r="A132" s="15" t="n"/>
      <c r="B132" s="16" t="n"/>
      <c r="C132" s="16" t="n"/>
      <c r="D132" s="16" t="n"/>
      <c r="E132" s="16" t="n"/>
      <c r="F132" s="16" t="n"/>
      <c r="G132" s="17" t="n"/>
      <c r="H132" s="16" t="n"/>
    </row>
    <row r="133">
      <c r="A133" s="15" t="n"/>
      <c r="B133" s="16" t="n"/>
      <c r="C133" s="16" t="n"/>
      <c r="D133" s="16" t="n"/>
      <c r="E133" s="16" t="n"/>
      <c r="F133" s="16" t="n"/>
      <c r="G133" s="17" t="n"/>
      <c r="H133" s="16" t="n"/>
    </row>
    <row r="134">
      <c r="A134" s="15" t="n"/>
      <c r="B134" s="16" t="n"/>
      <c r="C134" s="16" t="n"/>
      <c r="D134" s="16" t="n"/>
      <c r="E134" s="16" t="n"/>
      <c r="F134" s="16" t="n"/>
      <c r="G134" s="17" t="n"/>
      <c r="H134" s="16" t="n"/>
    </row>
    <row r="135">
      <c r="A135" s="15" t="n"/>
      <c r="B135" s="16" t="n"/>
      <c r="C135" s="16" t="n"/>
      <c r="D135" s="16" t="n"/>
      <c r="E135" s="16" t="n"/>
      <c r="F135" s="16" t="n"/>
      <c r="G135" s="17" t="n"/>
      <c r="H135" s="16" t="n"/>
    </row>
    <row r="136">
      <c r="A136" s="15" t="n"/>
      <c r="B136" s="16" t="n"/>
      <c r="C136" s="16" t="n"/>
      <c r="D136" s="16" t="n"/>
      <c r="E136" s="16" t="n"/>
      <c r="F136" s="16" t="n"/>
      <c r="G136" s="17" t="n"/>
      <c r="H136" s="16" t="n"/>
    </row>
    <row r="137">
      <c r="A137" s="15" t="n"/>
      <c r="B137" s="16" t="n"/>
      <c r="C137" s="16" t="n"/>
      <c r="D137" s="16" t="n"/>
      <c r="E137" s="16" t="n"/>
      <c r="F137" s="16" t="n"/>
      <c r="G137" s="17" t="n"/>
      <c r="H137" s="16" t="n"/>
    </row>
    <row r="138">
      <c r="A138" s="15" t="n"/>
      <c r="B138" s="16" t="n"/>
      <c r="C138" s="16" t="n"/>
      <c r="D138" s="16" t="n"/>
      <c r="E138" s="16" t="n"/>
      <c r="F138" s="16" t="n"/>
      <c r="G138" s="17" t="n"/>
      <c r="H138" s="16" t="n"/>
    </row>
    <row r="139">
      <c r="A139" s="15" t="n"/>
      <c r="B139" s="16" t="n"/>
      <c r="C139" s="16" t="n"/>
      <c r="D139" s="16" t="n"/>
      <c r="E139" s="16" t="n"/>
      <c r="F139" s="16" t="n"/>
      <c r="G139" s="17" t="n"/>
      <c r="H139" s="16" t="n"/>
    </row>
    <row r="140">
      <c r="A140" s="15" t="n"/>
      <c r="B140" s="16" t="n"/>
      <c r="C140" s="16" t="n"/>
      <c r="D140" s="16" t="n"/>
      <c r="E140" s="16" t="n"/>
      <c r="F140" s="16" t="n"/>
      <c r="G140" s="17" t="n"/>
      <c r="H140" s="16" t="n"/>
    </row>
    <row r="141">
      <c r="A141" s="15" t="n"/>
      <c r="B141" s="16" t="n"/>
      <c r="C141" s="16" t="n"/>
      <c r="D141" s="16" t="n"/>
      <c r="E141" s="16" t="n"/>
      <c r="F141" s="16" t="n"/>
      <c r="G141" s="17" t="n"/>
      <c r="H141" s="16" t="n"/>
    </row>
    <row r="142">
      <c r="A142" s="15" t="n"/>
      <c r="B142" s="16" t="n"/>
      <c r="C142" s="16" t="n"/>
      <c r="D142" s="16" t="n"/>
      <c r="E142" s="16" t="n"/>
      <c r="F142" s="16" t="n"/>
      <c r="G142" s="17" t="n"/>
      <c r="H142" s="16" t="n"/>
    </row>
    <row r="143">
      <c r="A143" s="15" t="n"/>
      <c r="B143" s="16" t="n"/>
      <c r="C143" s="16" t="n"/>
      <c r="D143" s="16" t="n"/>
      <c r="E143" s="16" t="n"/>
      <c r="F143" s="16" t="n"/>
      <c r="G143" s="17" t="n"/>
      <c r="H143" s="16" t="n"/>
    </row>
    <row r="144">
      <c r="A144" s="15" t="n"/>
      <c r="B144" s="16" t="n"/>
      <c r="C144" s="16" t="n"/>
      <c r="D144" s="16" t="n"/>
      <c r="E144" s="16" t="n"/>
      <c r="F144" s="16" t="n"/>
      <c r="G144" s="17" t="n"/>
      <c r="H144" s="16" t="n"/>
    </row>
    <row r="145">
      <c r="A145" s="15" t="n"/>
      <c r="B145" s="16" t="n"/>
      <c r="C145" s="16" t="n"/>
      <c r="D145" s="16" t="n"/>
      <c r="E145" s="16" t="n"/>
      <c r="F145" s="16" t="n"/>
      <c r="G145" s="17" t="n"/>
      <c r="H145" s="16" t="n"/>
    </row>
    <row r="146">
      <c r="A146" s="15" t="n"/>
      <c r="B146" s="16" t="n"/>
      <c r="C146" s="16" t="n"/>
      <c r="D146" s="16" t="n"/>
      <c r="E146" s="16" t="n"/>
      <c r="F146" s="16" t="n"/>
      <c r="G146" s="17" t="n"/>
      <c r="H146" s="16" t="n"/>
    </row>
    <row r="147">
      <c r="A147" s="15" t="n"/>
      <c r="B147" s="16" t="n"/>
      <c r="C147" s="16" t="n"/>
      <c r="D147" s="16" t="n"/>
      <c r="E147" s="16" t="n"/>
      <c r="F147" s="16" t="n"/>
      <c r="G147" s="17" t="n"/>
      <c r="H147" s="16" t="n"/>
    </row>
    <row r="148">
      <c r="A148" s="15" t="n"/>
      <c r="B148" s="16" t="n"/>
      <c r="C148" s="16" t="n"/>
      <c r="D148" s="16" t="n"/>
      <c r="E148" s="16" t="n"/>
      <c r="F148" s="16" t="n"/>
      <c r="G148" s="17" t="n"/>
      <c r="H148" s="16" t="n"/>
    </row>
    <row r="149">
      <c r="A149" s="15" t="n"/>
      <c r="B149" s="16" t="n"/>
      <c r="C149" s="16" t="n"/>
      <c r="D149" s="16" t="n"/>
      <c r="E149" s="16" t="n"/>
      <c r="F149" s="16" t="n"/>
      <c r="G149" s="17" t="n"/>
      <c r="H149" s="16" t="n"/>
    </row>
    <row r="150">
      <c r="A150" s="15" t="n"/>
      <c r="B150" s="16" t="n"/>
      <c r="C150" s="16" t="n"/>
      <c r="D150" s="16" t="n"/>
      <c r="E150" s="16" t="n"/>
      <c r="F150" s="16" t="n"/>
      <c r="G150" s="17" t="n"/>
      <c r="H150" s="16" t="n"/>
    </row>
    <row r="151">
      <c r="A151" s="15" t="n"/>
      <c r="B151" s="16" t="n"/>
      <c r="C151" s="16" t="n"/>
      <c r="D151" s="16" t="n"/>
      <c r="E151" s="16" t="n"/>
      <c r="F151" s="16" t="n"/>
      <c r="G151" s="17" t="n"/>
      <c r="H151" s="16" t="n"/>
    </row>
    <row r="152">
      <c r="A152" s="15" t="n"/>
      <c r="B152" s="16" t="n"/>
      <c r="C152" s="16" t="n"/>
      <c r="D152" s="16" t="n"/>
      <c r="E152" s="16" t="n"/>
      <c r="F152" s="16" t="n"/>
      <c r="G152" s="17" t="n"/>
      <c r="H152" s="16" t="n"/>
    </row>
    <row r="153">
      <c r="A153" s="15" t="n"/>
      <c r="B153" s="16" t="n"/>
      <c r="C153" s="16" t="n"/>
      <c r="D153" s="16" t="n"/>
      <c r="E153" s="16" t="n"/>
      <c r="F153" s="16" t="n"/>
      <c r="G153" s="17" t="n"/>
      <c r="H153" s="16" t="n"/>
    </row>
    <row r="154">
      <c r="A154" s="15" t="n"/>
      <c r="B154" s="16" t="n"/>
      <c r="C154" s="16" t="n"/>
      <c r="D154" s="16" t="n"/>
      <c r="E154" s="16" t="n"/>
      <c r="F154" s="16" t="n"/>
      <c r="G154" s="17" t="n"/>
      <c r="H154" s="16" t="n"/>
    </row>
    <row r="155">
      <c r="A155" s="15" t="n"/>
      <c r="B155" s="16" t="n"/>
      <c r="C155" s="16" t="n"/>
      <c r="D155" s="16" t="n"/>
      <c r="E155" s="16" t="n"/>
      <c r="F155" s="16" t="n"/>
      <c r="G155" s="17" t="n"/>
      <c r="H155" s="16" t="n"/>
    </row>
    <row r="156">
      <c r="A156" s="15" t="n"/>
      <c r="B156" s="16" t="n"/>
      <c r="C156" s="16" t="n"/>
      <c r="D156" s="16" t="n"/>
      <c r="E156" s="16" t="n"/>
      <c r="F156" s="16" t="n"/>
      <c r="G156" s="17" t="n"/>
      <c r="H156" s="16" t="n"/>
    </row>
    <row r="157">
      <c r="A157" s="15" t="n"/>
      <c r="B157" s="16" t="n"/>
      <c r="C157" s="16" t="n"/>
      <c r="D157" s="16" t="n"/>
      <c r="E157" s="16" t="n"/>
      <c r="F157" s="16" t="n"/>
      <c r="G157" s="17" t="n"/>
      <c r="H157" s="16" t="n"/>
    </row>
    <row r="158">
      <c r="A158" s="15" t="n"/>
      <c r="B158" s="16" t="n"/>
      <c r="C158" s="16" t="n"/>
      <c r="D158" s="16" t="n"/>
      <c r="E158" s="16" t="n"/>
      <c r="F158" s="16" t="n"/>
      <c r="G158" s="17" t="n"/>
      <c r="H158" s="16" t="n"/>
    </row>
    <row r="159">
      <c r="A159" s="15" t="n"/>
      <c r="B159" s="16" t="n"/>
      <c r="C159" s="16" t="n"/>
      <c r="D159" s="16" t="n"/>
      <c r="E159" s="16" t="n"/>
      <c r="F159" s="16" t="n"/>
      <c r="G159" s="17" t="n"/>
      <c r="H159" s="16" t="n"/>
    </row>
    <row r="160">
      <c r="A160" s="15" t="n"/>
      <c r="B160" s="16" t="n"/>
      <c r="C160" s="16" t="n"/>
      <c r="D160" s="16" t="n"/>
      <c r="E160" s="16" t="n"/>
      <c r="F160" s="16" t="n"/>
      <c r="G160" s="17" t="n"/>
      <c r="H160" s="16" t="n"/>
    </row>
    <row r="161">
      <c r="A161" s="15" t="n"/>
      <c r="B161" s="16" t="n"/>
      <c r="C161" s="16" t="n"/>
      <c r="D161" s="16" t="n"/>
      <c r="E161" s="16" t="n"/>
      <c r="F161" s="16" t="n"/>
      <c r="G161" s="17" t="n"/>
      <c r="H161" s="16" t="n"/>
    </row>
    <row r="162">
      <c r="A162" s="15" t="n"/>
      <c r="B162" s="16" t="n"/>
      <c r="C162" s="16" t="n"/>
      <c r="D162" s="16" t="n"/>
      <c r="E162" s="16" t="n"/>
      <c r="F162" s="16" t="n"/>
      <c r="G162" s="17" t="n"/>
      <c r="H162" s="16" t="n"/>
    </row>
    <row r="163">
      <c r="A163" s="15" t="n"/>
      <c r="B163" s="16" t="n"/>
      <c r="C163" s="16" t="n"/>
      <c r="D163" s="16" t="n"/>
      <c r="E163" s="16" t="n"/>
      <c r="F163" s="16" t="n"/>
      <c r="G163" s="17" t="n"/>
      <c r="H163" s="16" t="n"/>
    </row>
    <row r="164">
      <c r="A164" s="15" t="n"/>
      <c r="B164" s="16" t="n"/>
      <c r="C164" s="16" t="n"/>
      <c r="D164" s="16" t="n"/>
      <c r="E164" s="16" t="n"/>
      <c r="F164" s="16" t="n"/>
      <c r="G164" s="17" t="n"/>
      <c r="H164" s="16" t="n"/>
    </row>
    <row r="165">
      <c r="A165" s="15" t="n"/>
      <c r="B165" s="16" t="n"/>
      <c r="C165" s="16" t="n"/>
      <c r="D165" s="16" t="n"/>
      <c r="E165" s="16" t="n"/>
      <c r="F165" s="16" t="n"/>
      <c r="G165" s="17" t="n"/>
      <c r="H165" s="16" t="n"/>
    </row>
    <row r="166">
      <c r="A166" s="15" t="n"/>
      <c r="B166" s="16" t="n"/>
      <c r="C166" s="16" t="n"/>
      <c r="D166" s="16" t="n"/>
      <c r="E166" s="16" t="n"/>
      <c r="F166" s="16" t="n"/>
      <c r="G166" s="17" t="n"/>
      <c r="H166" s="16" t="n"/>
    </row>
    <row r="167">
      <c r="A167" s="15" t="n"/>
      <c r="B167" s="16" t="n"/>
      <c r="C167" s="16" t="n"/>
      <c r="D167" s="16" t="n"/>
      <c r="E167" s="16" t="n"/>
      <c r="F167" s="16" t="n"/>
      <c r="G167" s="17" t="n"/>
      <c r="H167" s="16" t="n"/>
    </row>
    <row r="168">
      <c r="A168" s="15" t="n"/>
      <c r="B168" s="16" t="n"/>
      <c r="C168" s="16" t="n"/>
      <c r="D168" s="16" t="n"/>
      <c r="E168" s="16" t="n"/>
      <c r="F168" s="16" t="n"/>
      <c r="G168" s="17" t="n"/>
      <c r="H168" s="16" t="n"/>
    </row>
    <row r="169">
      <c r="A169" s="15" t="n"/>
      <c r="B169" s="16" t="n"/>
      <c r="C169" s="16" t="n"/>
      <c r="D169" s="16" t="n"/>
      <c r="E169" s="16" t="n"/>
      <c r="F169" s="16" t="n"/>
      <c r="G169" s="17" t="n"/>
      <c r="H169" s="16" t="n"/>
    </row>
    <row r="170">
      <c r="A170" s="15" t="n"/>
      <c r="B170" s="16" t="n"/>
      <c r="C170" s="16" t="n"/>
      <c r="D170" s="16" t="n"/>
      <c r="E170" s="16" t="n"/>
      <c r="F170" s="16" t="n"/>
      <c r="G170" s="17" t="n"/>
      <c r="H170" s="16" t="n"/>
    </row>
    <row r="171">
      <c r="A171" s="15" t="n"/>
      <c r="B171" s="16" t="n"/>
      <c r="C171" s="16" t="n"/>
      <c r="D171" s="16" t="n"/>
      <c r="E171" s="16" t="n"/>
      <c r="F171" s="16" t="n"/>
      <c r="G171" s="17" t="n"/>
      <c r="H171" s="16" t="n"/>
    </row>
    <row r="172">
      <c r="A172" s="15" t="n"/>
      <c r="B172" s="16" t="n"/>
      <c r="C172" s="16" t="n"/>
      <c r="D172" s="16" t="n"/>
      <c r="E172" s="16" t="n"/>
      <c r="F172" s="16" t="n"/>
      <c r="G172" s="17" t="n"/>
      <c r="H172" s="16" t="n"/>
    </row>
    <row r="173">
      <c r="A173" s="15" t="n"/>
      <c r="B173" s="16" t="n"/>
      <c r="C173" s="16" t="n"/>
      <c r="D173" s="16" t="n"/>
      <c r="E173" s="16" t="n"/>
      <c r="F173" s="16" t="n"/>
      <c r="G173" s="17" t="n"/>
      <c r="H173" s="16" t="n"/>
    </row>
    <row r="174">
      <c r="A174" s="15" t="n"/>
      <c r="B174" s="16" t="n"/>
      <c r="C174" s="16" t="n"/>
      <c r="D174" s="16" t="n"/>
      <c r="E174" s="16" t="n"/>
      <c r="F174" s="16" t="n"/>
      <c r="G174" s="17" t="n"/>
      <c r="H174" s="16" t="n"/>
    </row>
    <row r="175">
      <c r="A175" s="15" t="n"/>
      <c r="B175" s="16" t="n"/>
      <c r="C175" s="16" t="n"/>
      <c r="D175" s="16" t="n"/>
      <c r="E175" s="16" t="n"/>
      <c r="F175" s="16" t="n"/>
      <c r="G175" s="17" t="n"/>
      <c r="H175" s="16" t="n"/>
    </row>
    <row r="176">
      <c r="A176" s="15" t="n"/>
      <c r="B176" s="16" t="n"/>
      <c r="C176" s="16" t="n"/>
      <c r="D176" s="16" t="n"/>
      <c r="E176" s="16" t="n"/>
      <c r="F176" s="16" t="n"/>
      <c r="G176" s="17" t="n"/>
      <c r="H176" s="16" t="n"/>
    </row>
    <row r="177">
      <c r="A177" s="15" t="n"/>
      <c r="B177" s="16" t="n"/>
      <c r="C177" s="16" t="n"/>
      <c r="D177" s="16" t="n"/>
      <c r="E177" s="16" t="n"/>
      <c r="F177" s="16" t="n"/>
      <c r="G177" s="17" t="n"/>
      <c r="H177" s="16" t="n"/>
    </row>
    <row r="178">
      <c r="A178" s="15" t="n"/>
      <c r="B178" s="16" t="n"/>
      <c r="C178" s="16" t="n"/>
      <c r="D178" s="16" t="n"/>
      <c r="E178" s="16" t="n"/>
      <c r="F178" s="16" t="n"/>
      <c r="G178" s="17" t="n"/>
      <c r="H178" s="16" t="n"/>
    </row>
    <row r="179">
      <c r="A179" s="15" t="n"/>
      <c r="B179" s="16" t="n"/>
      <c r="C179" s="16" t="n"/>
      <c r="D179" s="16" t="n"/>
      <c r="E179" s="16" t="n"/>
      <c r="F179" s="16" t="n"/>
      <c r="G179" s="17" t="n"/>
      <c r="H179" s="16" t="n"/>
    </row>
    <row r="180">
      <c r="A180" s="15" t="n"/>
      <c r="B180" s="16" t="n"/>
      <c r="C180" s="16" t="n"/>
      <c r="D180" s="16" t="n"/>
      <c r="E180" s="16" t="n"/>
      <c r="F180" s="16" t="n"/>
      <c r="G180" s="17" t="n"/>
      <c r="H180" s="16" t="n"/>
    </row>
    <row r="181">
      <c r="A181" s="15" t="n"/>
      <c r="B181" s="16" t="n"/>
      <c r="C181" s="16" t="n"/>
      <c r="D181" s="16" t="n"/>
      <c r="E181" s="16" t="n"/>
      <c r="F181" s="16" t="n"/>
      <c r="G181" s="17" t="n"/>
      <c r="H181" s="16" t="n"/>
    </row>
    <row r="182">
      <c r="A182" s="15" t="n"/>
      <c r="B182" s="16" t="n"/>
      <c r="C182" s="16" t="n"/>
      <c r="D182" s="16" t="n"/>
      <c r="E182" s="16" t="n"/>
      <c r="F182" s="16" t="n"/>
      <c r="G182" s="17" t="n"/>
      <c r="H182" s="16" t="n"/>
    </row>
    <row r="183">
      <c r="A183" s="15" t="n"/>
      <c r="B183" s="16" t="n"/>
      <c r="C183" s="16" t="n"/>
      <c r="D183" s="16" t="n"/>
      <c r="E183" s="16" t="n"/>
      <c r="F183" s="16" t="n"/>
      <c r="G183" s="17" t="n"/>
      <c r="H183" s="16" t="n"/>
    </row>
    <row r="184">
      <c r="A184" s="15" t="n"/>
      <c r="B184" s="16" t="n"/>
      <c r="C184" s="16" t="n"/>
      <c r="D184" s="16" t="n"/>
      <c r="E184" s="16" t="n"/>
      <c r="F184" s="16" t="n"/>
      <c r="G184" s="17" t="n"/>
      <c r="H184" s="16" t="n"/>
    </row>
    <row r="185">
      <c r="A185" s="15" t="n"/>
      <c r="B185" s="16" t="n"/>
      <c r="C185" s="16" t="n"/>
      <c r="D185" s="16" t="n"/>
      <c r="E185" s="16" t="n"/>
      <c r="F185" s="16" t="n"/>
      <c r="G185" s="17" t="n"/>
      <c r="H185" s="16" t="n"/>
    </row>
    <row r="186">
      <c r="A186" s="15" t="n"/>
      <c r="B186" s="16" t="n"/>
      <c r="C186" s="16" t="n"/>
      <c r="D186" s="16" t="n"/>
      <c r="E186" s="16" t="n"/>
      <c r="F186" s="16" t="n"/>
      <c r="G186" s="17" t="n"/>
      <c r="H186" s="16" t="n"/>
    </row>
    <row r="187">
      <c r="A187" s="15" t="n"/>
      <c r="B187" s="16" t="n"/>
      <c r="C187" s="16" t="n"/>
      <c r="D187" s="16" t="n"/>
      <c r="E187" s="16" t="n"/>
      <c r="F187" s="16" t="n"/>
      <c r="G187" s="17" t="n"/>
      <c r="H187" s="16" t="n"/>
    </row>
    <row r="188">
      <c r="A188" s="15" t="n"/>
      <c r="B188" s="16" t="n"/>
      <c r="C188" s="16" t="n"/>
      <c r="D188" s="16" t="n"/>
      <c r="E188" s="16" t="n"/>
      <c r="F188" s="16" t="n"/>
      <c r="G188" s="17" t="n"/>
      <c r="H188" s="16" t="n"/>
    </row>
    <row r="189">
      <c r="A189" s="15" t="n"/>
      <c r="B189" s="16" t="n"/>
      <c r="C189" s="16" t="n"/>
      <c r="D189" s="16" t="n"/>
      <c r="E189" s="16" t="n"/>
      <c r="F189" s="16" t="n"/>
      <c r="G189" s="17" t="n"/>
      <c r="H189" s="16" t="n"/>
    </row>
    <row r="190">
      <c r="A190" s="15" t="n"/>
      <c r="B190" s="16" t="n"/>
      <c r="C190" s="16" t="n"/>
      <c r="D190" s="16" t="n"/>
      <c r="E190" s="16" t="n"/>
      <c r="F190" s="16" t="n"/>
      <c r="G190" s="17" t="n"/>
      <c r="H190" s="16" t="n"/>
    </row>
    <row r="191">
      <c r="A191" s="15" t="n"/>
      <c r="B191" s="16" t="n"/>
      <c r="C191" s="16" t="n"/>
      <c r="D191" s="16" t="n"/>
      <c r="E191" s="16" t="n"/>
      <c r="F191" s="16" t="n"/>
      <c r="G191" s="17" t="n"/>
      <c r="H191" s="16" t="n"/>
    </row>
    <row r="192">
      <c r="A192" s="15" t="n"/>
      <c r="B192" s="16" t="n"/>
      <c r="C192" s="16" t="n"/>
      <c r="D192" s="16" t="n"/>
      <c r="E192" s="16" t="n"/>
      <c r="F192" s="16" t="n"/>
      <c r="G192" s="17" t="n"/>
      <c r="H192" s="16" t="n"/>
    </row>
    <row r="193">
      <c r="A193" s="15" t="n"/>
      <c r="B193" s="16" t="n"/>
      <c r="C193" s="16" t="n"/>
      <c r="D193" s="16" t="n"/>
      <c r="E193" s="16" t="n"/>
      <c r="F193" s="16" t="n"/>
      <c r="G193" s="17" t="n"/>
      <c r="H193" s="16" t="n"/>
    </row>
    <row r="194">
      <c r="A194" s="15" t="n"/>
      <c r="B194" s="16" t="n"/>
      <c r="C194" s="16" t="n"/>
      <c r="D194" s="16" t="n"/>
      <c r="E194" s="16" t="n"/>
      <c r="F194" s="16" t="n"/>
      <c r="G194" s="17" t="n"/>
      <c r="H194" s="16" t="n"/>
    </row>
    <row r="195">
      <c r="A195" s="15" t="n"/>
      <c r="B195" s="16" t="n"/>
      <c r="C195" s="16" t="n"/>
      <c r="D195" s="16" t="n"/>
      <c r="E195" s="16" t="n"/>
      <c r="F195" s="16" t="n"/>
      <c r="G195" s="17" t="n"/>
      <c r="H195" s="16" t="n"/>
    </row>
    <row r="196">
      <c r="A196" s="15" t="n"/>
      <c r="B196" s="16" t="n"/>
      <c r="C196" s="16" t="n"/>
      <c r="D196" s="16" t="n"/>
      <c r="E196" s="16" t="n"/>
      <c r="F196" s="16" t="n"/>
      <c r="G196" s="17" t="n"/>
      <c r="H196" s="16" t="n"/>
    </row>
    <row r="197">
      <c r="A197" s="15" t="n"/>
      <c r="B197" s="16" t="n"/>
      <c r="C197" s="16" t="n"/>
      <c r="D197" s="16" t="n"/>
      <c r="E197" s="16" t="n"/>
      <c r="F197" s="16" t="n"/>
      <c r="G197" s="17" t="n"/>
      <c r="H197" s="16" t="n"/>
    </row>
    <row r="198">
      <c r="A198" s="15" t="n"/>
      <c r="B198" s="16" t="n"/>
      <c r="C198" s="16" t="n"/>
      <c r="D198" s="16" t="n"/>
      <c r="E198" s="16" t="n"/>
      <c r="F198" s="16" t="n"/>
      <c r="G198" s="17" t="n"/>
      <c r="H198" s="16" t="n"/>
    </row>
    <row r="199">
      <c r="A199" s="15" t="n"/>
      <c r="B199" s="16" t="n"/>
      <c r="C199" s="16" t="n"/>
      <c r="D199" s="16" t="n"/>
      <c r="E199" s="16" t="n"/>
      <c r="F199" s="16" t="n"/>
      <c r="G199" s="17" t="n"/>
      <c r="H199" s="16" t="n"/>
    </row>
    <row r="200">
      <c r="A200" s="15" t="n"/>
      <c r="B200" s="16" t="n"/>
      <c r="C200" s="16" t="n"/>
      <c r="D200" s="16" t="n"/>
      <c r="E200" s="16" t="n"/>
      <c r="F200" s="16" t="n"/>
      <c r="G200" s="17" t="n"/>
      <c r="H200" s="16" t="n"/>
    </row>
    <row r="201">
      <c r="A201" s="15" t="n"/>
      <c r="B201" s="16" t="n"/>
      <c r="C201" s="16" t="n"/>
      <c r="D201" s="16" t="n"/>
      <c r="E201" s="16" t="n"/>
      <c r="F201" s="16" t="n"/>
      <c r="G201" s="17" t="n"/>
      <c r="H201" s="16" t="n"/>
    </row>
    <row r="202">
      <c r="A202" s="15" t="n"/>
      <c r="B202" s="16" t="n"/>
      <c r="C202" s="16" t="n"/>
      <c r="D202" s="16" t="n"/>
      <c r="E202" s="16" t="n"/>
      <c r="F202" s="16" t="n"/>
      <c r="G202" s="17" t="n"/>
      <c r="H202" s="16" t="n"/>
    </row>
    <row r="203">
      <c r="A203" s="15" t="n"/>
      <c r="B203" s="16" t="n"/>
      <c r="C203" s="16" t="n"/>
      <c r="D203" s="16" t="n"/>
      <c r="E203" s="16" t="n"/>
      <c r="F203" s="16" t="n"/>
      <c r="G203" s="17" t="n"/>
      <c r="H203" s="16" t="n"/>
    </row>
    <row r="204">
      <c r="A204" s="15" t="n"/>
      <c r="B204" s="16" t="n"/>
      <c r="C204" s="16" t="n"/>
      <c r="D204" s="16" t="n"/>
      <c r="E204" s="16" t="n"/>
      <c r="F204" s="16" t="n"/>
      <c r="G204" s="17" t="n"/>
      <c r="H204" s="16" t="n"/>
    </row>
    <row r="205">
      <c r="A205" s="15" t="n"/>
      <c r="B205" s="16" t="n"/>
      <c r="C205" s="16" t="n"/>
      <c r="D205" s="16" t="n"/>
      <c r="E205" s="16" t="n"/>
      <c r="F205" s="16" t="n"/>
      <c r="G205" s="17" t="n"/>
      <c r="H205" s="16" t="n"/>
    </row>
    <row r="206">
      <c r="A206" s="15" t="n"/>
      <c r="B206" s="16" t="n"/>
      <c r="C206" s="16" t="n"/>
      <c r="D206" s="16" t="n"/>
      <c r="E206" s="16" t="n"/>
      <c r="F206" s="16" t="n"/>
      <c r="G206" s="17" t="n"/>
      <c r="H206" s="16" t="n"/>
    </row>
    <row r="207">
      <c r="A207" s="15" t="n"/>
      <c r="B207" s="16" t="n"/>
      <c r="C207" s="16" t="n"/>
      <c r="D207" s="16" t="n"/>
      <c r="E207" s="16" t="n"/>
      <c r="F207" s="16" t="n"/>
      <c r="G207" s="17" t="n"/>
      <c r="H207" s="16" t="n"/>
    </row>
    <row r="208">
      <c r="A208" s="15" t="n"/>
      <c r="B208" s="16" t="n"/>
      <c r="C208" s="16" t="n"/>
      <c r="D208" s="16" t="n"/>
      <c r="E208" s="16" t="n"/>
      <c r="F208" s="16" t="n"/>
      <c r="G208" s="17" t="n"/>
      <c r="H208" s="16" t="n"/>
    </row>
    <row r="209">
      <c r="A209" s="15" t="n"/>
      <c r="B209" s="16" t="n"/>
      <c r="C209" s="16" t="n"/>
      <c r="D209" s="16" t="n"/>
      <c r="E209" s="16" t="n"/>
      <c r="F209" s="16" t="n"/>
      <c r="G209" s="17" t="n"/>
      <c r="H209" s="16" t="n"/>
    </row>
    <row r="210">
      <c r="A210" s="15" t="n"/>
      <c r="B210" s="16" t="n"/>
      <c r="C210" s="16" t="n"/>
      <c r="D210" s="16" t="n"/>
      <c r="E210" s="16" t="n"/>
      <c r="F210" s="16" t="n"/>
      <c r="G210" s="17" t="n"/>
      <c r="H210" s="16" t="n"/>
    </row>
    <row r="211">
      <c r="A211" s="15" t="n"/>
      <c r="B211" s="16" t="n"/>
      <c r="C211" s="16" t="n"/>
      <c r="D211" s="16" t="n"/>
      <c r="E211" s="16" t="n"/>
      <c r="F211" s="16" t="n"/>
      <c r="G211" s="17" t="n"/>
      <c r="H211" s="16" t="n"/>
    </row>
    <row r="212">
      <c r="A212" s="15" t="n"/>
      <c r="B212" s="16" t="n"/>
      <c r="C212" s="16" t="n"/>
      <c r="D212" s="16" t="n"/>
      <c r="E212" s="16" t="n"/>
      <c r="F212" s="16" t="n"/>
      <c r="G212" s="17" t="n"/>
      <c r="H212" s="16" t="n"/>
    </row>
    <row r="213">
      <c r="A213" s="15" t="n"/>
      <c r="B213" s="16" t="n"/>
      <c r="C213" s="16" t="n"/>
      <c r="D213" s="16" t="n"/>
      <c r="E213" s="16" t="n"/>
      <c r="F213" s="16" t="n"/>
      <c r="G213" s="17" t="n"/>
      <c r="H213" s="16" t="n"/>
    </row>
    <row r="214">
      <c r="A214" s="15" t="n"/>
      <c r="B214" s="16" t="n"/>
      <c r="C214" s="16" t="n"/>
      <c r="D214" s="16" t="n"/>
      <c r="E214" s="16" t="n"/>
      <c r="F214" s="16" t="n"/>
      <c r="G214" s="17" t="n"/>
      <c r="H214" s="16" t="n"/>
    </row>
    <row r="215">
      <c r="A215" s="15" t="n"/>
      <c r="B215" s="16" t="n"/>
      <c r="C215" s="16" t="n"/>
      <c r="D215" s="16" t="n"/>
      <c r="E215" s="16" t="n"/>
      <c r="F215" s="16" t="n"/>
      <c r="G215" s="17" t="n"/>
      <c r="H215" s="16" t="n"/>
    </row>
    <row r="216">
      <c r="A216" s="15" t="n"/>
      <c r="B216" s="16" t="n"/>
      <c r="C216" s="16" t="n"/>
      <c r="D216" s="16" t="n"/>
      <c r="E216" s="16" t="n"/>
      <c r="F216" s="16" t="n"/>
      <c r="G216" s="17" t="n"/>
      <c r="H216" s="16" t="n"/>
    </row>
    <row r="217">
      <c r="A217" s="15" t="n"/>
      <c r="B217" s="16" t="n"/>
      <c r="C217" s="16" t="n"/>
      <c r="D217" s="16" t="n"/>
      <c r="E217" s="16" t="n"/>
      <c r="F217" s="16" t="n"/>
      <c r="G217" s="17" t="n"/>
      <c r="H217" s="16" t="n"/>
    </row>
    <row r="218">
      <c r="A218" s="15" t="n"/>
      <c r="B218" s="16" t="n"/>
      <c r="C218" s="16" t="n"/>
      <c r="D218" s="16" t="n"/>
      <c r="E218" s="16" t="n"/>
      <c r="F218" s="16" t="n"/>
      <c r="G218" s="17" t="n"/>
      <c r="H218" s="16" t="n"/>
    </row>
    <row r="219">
      <c r="A219" s="15" t="n"/>
      <c r="B219" s="16" t="n"/>
      <c r="C219" s="16" t="n"/>
      <c r="D219" s="16" t="n"/>
      <c r="E219" s="16" t="n"/>
      <c r="F219" s="16" t="n"/>
      <c r="G219" s="17" t="n"/>
      <c r="H219" s="16" t="n"/>
    </row>
    <row r="220">
      <c r="A220" s="15" t="n"/>
      <c r="B220" s="16" t="n"/>
      <c r="C220" s="16" t="n"/>
      <c r="D220" s="16" t="n"/>
      <c r="E220" s="16" t="n"/>
      <c r="F220" s="16" t="n"/>
      <c r="G220" s="17" t="n"/>
      <c r="H220" s="16" t="n"/>
    </row>
    <row r="221">
      <c r="A221" s="15" t="n"/>
      <c r="B221" s="16" t="n"/>
      <c r="C221" s="16" t="n"/>
      <c r="D221" s="16" t="n"/>
      <c r="E221" s="16" t="n"/>
      <c r="F221" s="16" t="n"/>
      <c r="G221" s="17" t="n"/>
      <c r="H221" s="16" t="n"/>
    </row>
    <row r="222">
      <c r="A222" s="15" t="n"/>
      <c r="B222" s="16" t="n"/>
      <c r="C222" s="16" t="n"/>
      <c r="D222" s="16" t="n"/>
      <c r="E222" s="16" t="n"/>
      <c r="F222" s="16" t="n"/>
      <c r="G222" s="17" t="n"/>
      <c r="H222" s="16" t="n"/>
    </row>
    <row r="223">
      <c r="A223" s="15" t="n"/>
      <c r="B223" s="16" t="n"/>
      <c r="C223" s="16" t="n"/>
      <c r="D223" s="16" t="n"/>
      <c r="E223" s="16" t="n"/>
      <c r="F223" s="16" t="n"/>
      <c r="G223" s="17" t="n"/>
      <c r="H223" s="16" t="n"/>
    </row>
    <row r="224">
      <c r="A224" s="15" t="n"/>
      <c r="B224" s="16" t="n"/>
      <c r="C224" s="16" t="n"/>
      <c r="D224" s="16" t="n"/>
      <c r="E224" s="16" t="n"/>
      <c r="F224" s="16" t="n"/>
      <c r="G224" s="17" t="n"/>
      <c r="H224" s="16" t="n"/>
    </row>
    <row r="225">
      <c r="A225" s="15" t="n"/>
      <c r="B225" s="16" t="n"/>
      <c r="C225" s="16" t="n"/>
      <c r="D225" s="16" t="n"/>
      <c r="E225" s="16" t="n"/>
      <c r="F225" s="16" t="n"/>
      <c r="G225" s="17" t="n"/>
      <c r="H225" s="16" t="n"/>
    </row>
    <row r="226">
      <c r="A226" s="15" t="n"/>
      <c r="B226" s="16" t="n"/>
      <c r="C226" s="16" t="n"/>
      <c r="D226" s="16" t="n"/>
      <c r="E226" s="16" t="n"/>
      <c r="F226" s="16" t="n"/>
      <c r="G226" s="17" t="n"/>
      <c r="H226" s="16" t="n"/>
    </row>
    <row r="227">
      <c r="A227" s="15" t="n"/>
      <c r="B227" s="16" t="n"/>
      <c r="C227" s="16" t="n"/>
      <c r="D227" s="16" t="n"/>
      <c r="E227" s="16" t="n"/>
      <c r="F227" s="16" t="n"/>
      <c r="G227" s="17" t="n"/>
      <c r="H227" s="16" t="n"/>
    </row>
    <row r="228">
      <c r="A228" s="15" t="n"/>
      <c r="B228" s="16" t="n"/>
      <c r="C228" s="16" t="n"/>
      <c r="D228" s="16" t="n"/>
      <c r="E228" s="16" t="n"/>
      <c r="F228" s="16" t="n"/>
      <c r="G228" s="17" t="n"/>
      <c r="H228" s="16" t="n"/>
    </row>
    <row r="229">
      <c r="A229" s="15" t="n"/>
      <c r="B229" s="16" t="n"/>
      <c r="C229" s="16" t="n"/>
      <c r="D229" s="16" t="n"/>
      <c r="E229" s="16" t="n"/>
      <c r="F229" s="16" t="n"/>
      <c r="G229" s="17" t="n"/>
      <c r="H229" s="16" t="n"/>
    </row>
    <row r="230">
      <c r="A230" s="15" t="n"/>
      <c r="B230" s="16" t="n"/>
      <c r="C230" s="16" t="n"/>
      <c r="D230" s="16" t="n"/>
      <c r="E230" s="16" t="n"/>
      <c r="F230" s="16" t="n"/>
      <c r="G230" s="17" t="n"/>
      <c r="H230" s="16" t="n"/>
    </row>
    <row r="231">
      <c r="A231" s="15" t="n"/>
      <c r="B231" s="16" t="n"/>
      <c r="C231" s="16" t="n"/>
      <c r="D231" s="16" t="n"/>
      <c r="E231" s="16" t="n"/>
      <c r="F231" s="16" t="n"/>
      <c r="G231" s="17" t="n"/>
      <c r="H231" s="16" t="n"/>
    </row>
    <row r="232">
      <c r="A232" s="15" t="n"/>
      <c r="B232" s="16" t="n"/>
      <c r="C232" s="16" t="n"/>
      <c r="D232" s="16" t="n"/>
      <c r="E232" s="16" t="n"/>
      <c r="F232" s="16" t="n"/>
      <c r="G232" s="17" t="n"/>
      <c r="H232" s="16" t="n"/>
    </row>
    <row r="233">
      <c r="A233" s="15" t="n"/>
      <c r="B233" s="16" t="n"/>
      <c r="C233" s="16" t="n"/>
      <c r="D233" s="16" t="n"/>
      <c r="E233" s="16" t="n"/>
      <c r="F233" s="16" t="n"/>
      <c r="G233" s="17" t="n"/>
      <c r="H233" s="16" t="n"/>
    </row>
    <row r="234">
      <c r="A234" s="15" t="n"/>
      <c r="B234" s="16" t="n"/>
      <c r="C234" s="16" t="n"/>
      <c r="D234" s="16" t="n"/>
      <c r="E234" s="16" t="n"/>
      <c r="F234" s="16" t="n"/>
      <c r="G234" s="17" t="n"/>
      <c r="H234" s="16" t="n"/>
    </row>
    <row r="235">
      <c r="A235" s="15" t="n"/>
      <c r="B235" s="16" t="n"/>
      <c r="C235" s="16" t="n"/>
      <c r="D235" s="16" t="n"/>
      <c r="E235" s="16" t="n"/>
      <c r="F235" s="16" t="n"/>
      <c r="G235" s="17" t="n"/>
      <c r="H235" s="16" t="n"/>
    </row>
    <row r="236">
      <c r="A236" s="15" t="n"/>
      <c r="B236" s="16" t="n"/>
      <c r="C236" s="16" t="n"/>
      <c r="D236" s="16" t="n"/>
      <c r="E236" s="16" t="n"/>
      <c r="F236" s="16" t="n"/>
      <c r="G236" s="17" t="n"/>
      <c r="H236" s="16" t="n"/>
    </row>
    <row r="237">
      <c r="A237" s="15" t="n"/>
      <c r="B237" s="16" t="n"/>
      <c r="C237" s="16" t="n"/>
      <c r="D237" s="16" t="n"/>
      <c r="E237" s="16" t="n"/>
      <c r="F237" s="16" t="n"/>
      <c r="G237" s="17" t="n"/>
      <c r="H237" s="16" t="n"/>
    </row>
    <row r="238">
      <c r="A238" s="15" t="n"/>
      <c r="B238" s="16" t="n"/>
      <c r="C238" s="16" t="n"/>
      <c r="D238" s="16" t="n"/>
      <c r="E238" s="16" t="n"/>
      <c r="F238" s="16" t="n"/>
      <c r="G238" s="17" t="n"/>
      <c r="H238" s="16" t="n"/>
    </row>
    <row r="239">
      <c r="A239" s="15" t="n"/>
      <c r="B239" s="16" t="n"/>
      <c r="C239" s="16" t="n"/>
      <c r="D239" s="16" t="n"/>
      <c r="E239" s="16" t="n"/>
      <c r="F239" s="16" t="n"/>
      <c r="G239" s="17" t="n"/>
      <c r="H239" s="16" t="n"/>
    </row>
    <row r="240">
      <c r="A240" s="15" t="n"/>
      <c r="B240" s="16" t="n"/>
      <c r="C240" s="16" t="n"/>
      <c r="D240" s="16" t="n"/>
      <c r="E240" s="16" t="n"/>
      <c r="F240" s="16" t="n"/>
      <c r="G240" s="17" t="n"/>
      <c r="H240" s="16" t="n"/>
    </row>
    <row r="241">
      <c r="A241" s="15" t="n"/>
      <c r="B241" s="16" t="n"/>
      <c r="C241" s="16" t="n"/>
      <c r="D241" s="16" t="n"/>
      <c r="E241" s="16" t="n"/>
      <c r="F241" s="16" t="n"/>
      <c r="G241" s="17" t="n"/>
      <c r="H241" s="16" t="n"/>
    </row>
    <row r="242">
      <c r="A242" s="15" t="n"/>
      <c r="B242" s="16" t="n"/>
      <c r="C242" s="16" t="n"/>
      <c r="D242" s="16" t="n"/>
      <c r="E242" s="16" t="n"/>
      <c r="F242" s="16" t="n"/>
      <c r="G242" s="17" t="n"/>
      <c r="H242" s="16" t="n"/>
    </row>
    <row r="243">
      <c r="A243" s="15" t="n"/>
      <c r="B243" s="16" t="n"/>
      <c r="C243" s="16" t="n"/>
      <c r="D243" s="16" t="n"/>
      <c r="E243" s="16" t="n"/>
      <c r="F243" s="16" t="n"/>
      <c r="G243" s="17" t="n"/>
      <c r="H243" s="16" t="n"/>
    </row>
    <row r="244">
      <c r="A244" s="15" t="n"/>
      <c r="B244" s="16" t="n"/>
      <c r="C244" s="16" t="n"/>
      <c r="D244" s="16" t="n"/>
      <c r="E244" s="16" t="n"/>
      <c r="F244" s="16" t="n"/>
      <c r="G244" s="17" t="n"/>
      <c r="H244" s="16" t="n"/>
    </row>
    <row r="245">
      <c r="A245" s="15" t="n"/>
      <c r="B245" s="16" t="n"/>
      <c r="C245" s="16" t="n"/>
      <c r="D245" s="16" t="n"/>
      <c r="E245" s="16" t="n"/>
      <c r="F245" s="16" t="n"/>
      <c r="G245" s="17" t="n"/>
      <c r="H245" s="16" t="n"/>
    </row>
    <row r="246">
      <c r="A246" s="15" t="n"/>
      <c r="B246" s="16" t="n"/>
      <c r="C246" s="16" t="n"/>
      <c r="D246" s="16" t="n"/>
      <c r="E246" s="16" t="n"/>
      <c r="F246" s="16" t="n"/>
      <c r="G246" s="17" t="n"/>
      <c r="H246" s="16" t="n"/>
    </row>
    <row r="247">
      <c r="A247" s="15" t="n"/>
      <c r="B247" s="16" t="n"/>
      <c r="C247" s="16" t="n"/>
      <c r="D247" s="16" t="n"/>
      <c r="E247" s="16" t="n"/>
      <c r="F247" s="16" t="n"/>
      <c r="G247" s="17" t="n"/>
      <c r="H247" s="16" t="n"/>
    </row>
    <row r="248">
      <c r="A248" s="15" t="n"/>
      <c r="B248" s="16" t="n"/>
      <c r="C248" s="16" t="n"/>
      <c r="D248" s="16" t="n"/>
      <c r="E248" s="16" t="n"/>
      <c r="F248" s="16" t="n"/>
      <c r="G248" s="17" t="n"/>
      <c r="H248" s="16" t="n"/>
    </row>
    <row r="249">
      <c r="A249" s="15" t="n"/>
      <c r="B249" s="16" t="n"/>
      <c r="C249" s="16" t="n"/>
      <c r="D249" s="16" t="n"/>
      <c r="E249" s="16" t="n"/>
      <c r="F249" s="16" t="n"/>
      <c r="G249" s="17" t="n"/>
      <c r="H249" s="16" t="n"/>
    </row>
    <row r="250">
      <c r="A250" s="15" t="n"/>
      <c r="B250" s="16" t="n"/>
      <c r="C250" s="16" t="n"/>
      <c r="D250" s="16" t="n"/>
      <c r="E250" s="16" t="n"/>
      <c r="F250" s="16" t="n"/>
      <c r="G250" s="17" t="n"/>
      <c r="H250" s="16" t="n"/>
    </row>
    <row r="251">
      <c r="A251" s="15" t="n"/>
      <c r="B251" s="16" t="n"/>
      <c r="C251" s="16" t="n"/>
      <c r="D251" s="16" t="n"/>
      <c r="E251" s="16" t="n"/>
      <c r="F251" s="16" t="n"/>
      <c r="G251" s="17" t="n"/>
      <c r="H251" s="16" t="n"/>
    </row>
    <row r="252">
      <c r="A252" s="15" t="n"/>
      <c r="B252" s="16" t="n"/>
      <c r="C252" s="16" t="n"/>
      <c r="D252" s="16" t="n"/>
      <c r="E252" s="16" t="n"/>
      <c r="F252" s="16" t="n"/>
      <c r="G252" s="17" t="n"/>
      <c r="H252" s="16" t="n"/>
    </row>
    <row r="253">
      <c r="A253" s="15" t="n"/>
      <c r="B253" s="16" t="n"/>
      <c r="C253" s="16" t="n"/>
      <c r="D253" s="16" t="n"/>
      <c r="E253" s="16" t="n"/>
      <c r="F253" s="16" t="n"/>
      <c r="G253" s="17" t="n"/>
      <c r="H253" s="16" t="n"/>
    </row>
    <row r="254">
      <c r="A254" s="15" t="n"/>
      <c r="B254" s="16" t="n"/>
      <c r="C254" s="16" t="n"/>
      <c r="D254" s="16" t="n"/>
      <c r="E254" s="16" t="n"/>
      <c r="F254" s="16" t="n"/>
      <c r="G254" s="17" t="n"/>
      <c r="H254" s="16" t="n"/>
    </row>
    <row r="255">
      <c r="A255" s="15" t="n"/>
      <c r="B255" s="16" t="n"/>
      <c r="C255" s="16" t="n"/>
      <c r="D255" s="16" t="n"/>
      <c r="E255" s="16" t="n"/>
      <c r="F255" s="16" t="n"/>
      <c r="G255" s="17" t="n"/>
      <c r="H255" s="16" t="n"/>
    </row>
    <row r="256">
      <c r="A256" s="15" t="n"/>
      <c r="B256" s="16" t="n"/>
      <c r="C256" s="16" t="n"/>
      <c r="D256" s="16" t="n"/>
      <c r="E256" s="16" t="n"/>
      <c r="F256" s="16" t="n"/>
      <c r="G256" s="17" t="n"/>
      <c r="H256" s="16" t="n"/>
    </row>
    <row r="257">
      <c r="A257" s="15" t="n"/>
      <c r="B257" s="16" t="n"/>
      <c r="C257" s="16" t="n"/>
      <c r="D257" s="16" t="n"/>
      <c r="E257" s="16" t="n"/>
      <c r="F257" s="16" t="n"/>
      <c r="G257" s="17" t="n"/>
      <c r="H257" s="16" t="n"/>
    </row>
    <row r="258">
      <c r="A258" s="15" t="n"/>
      <c r="B258" s="16" t="n"/>
      <c r="C258" s="16" t="n"/>
      <c r="D258" s="16" t="n"/>
      <c r="E258" s="16" t="n"/>
      <c r="F258" s="16" t="n"/>
      <c r="G258" s="17" t="n"/>
      <c r="H258" s="16" t="n"/>
    </row>
    <row r="259">
      <c r="A259" s="15" t="n"/>
      <c r="B259" s="16" t="n"/>
      <c r="C259" s="16" t="n"/>
      <c r="D259" s="16" t="n"/>
      <c r="E259" s="16" t="n"/>
      <c r="F259" s="16" t="n"/>
      <c r="G259" s="17" t="n"/>
      <c r="H259" s="16" t="n"/>
    </row>
    <row r="260">
      <c r="A260" s="15" t="n"/>
      <c r="B260" s="16" t="n"/>
      <c r="C260" s="16" t="n"/>
      <c r="D260" s="16" t="n"/>
      <c r="E260" s="16" t="n"/>
      <c r="F260" s="16" t="n"/>
      <c r="G260" s="17" t="n"/>
      <c r="H260" s="16" t="n"/>
    </row>
    <row r="261">
      <c r="A261" s="15" t="n"/>
      <c r="B261" s="16" t="n"/>
      <c r="C261" s="16" t="n"/>
      <c r="D261" s="16" t="n"/>
      <c r="E261" s="16" t="n"/>
      <c r="F261" s="16" t="n"/>
      <c r="G261" s="17" t="n"/>
      <c r="H261" s="16" t="n"/>
    </row>
    <row r="262">
      <c r="A262" s="15" t="n"/>
      <c r="B262" s="16" t="n"/>
      <c r="C262" s="16" t="n"/>
      <c r="D262" s="16" t="n"/>
      <c r="E262" s="16" t="n"/>
      <c r="F262" s="16" t="n"/>
      <c r="G262" s="17" t="n"/>
      <c r="H262" s="16" t="n"/>
    </row>
    <row r="263">
      <c r="A263" s="15" t="n"/>
      <c r="B263" s="16" t="n"/>
      <c r="C263" s="16" t="n"/>
      <c r="D263" s="16" t="n"/>
      <c r="E263" s="16" t="n"/>
      <c r="F263" s="16" t="n"/>
      <c r="G263" s="17" t="n"/>
      <c r="H263" s="16" t="n"/>
    </row>
    <row r="264">
      <c r="A264" s="15" t="n"/>
      <c r="B264" s="16" t="n"/>
      <c r="C264" s="16" t="n"/>
      <c r="D264" s="16" t="n"/>
      <c r="E264" s="16" t="n"/>
      <c r="F264" s="16" t="n"/>
      <c r="G264" s="17" t="n"/>
      <c r="H264" s="16" t="n"/>
    </row>
    <row r="265">
      <c r="A265" s="15" t="n"/>
      <c r="B265" s="16" t="n"/>
      <c r="C265" s="16" t="n"/>
      <c r="D265" s="16" t="n"/>
      <c r="E265" s="16" t="n"/>
      <c r="F265" s="16" t="n"/>
      <c r="G265" s="17" t="n"/>
      <c r="H265" s="16" t="n"/>
    </row>
    <row r="266">
      <c r="A266" s="15" t="n"/>
      <c r="B266" s="16" t="n"/>
      <c r="C266" s="16" t="n"/>
      <c r="D266" s="16" t="n"/>
      <c r="E266" s="16" t="n"/>
      <c r="F266" s="16" t="n"/>
      <c r="G266" s="17" t="n"/>
      <c r="H266" s="16" t="n"/>
    </row>
    <row r="267">
      <c r="A267" s="15" t="n"/>
      <c r="B267" s="16" t="n"/>
      <c r="C267" s="16" t="n"/>
      <c r="D267" s="16" t="n"/>
      <c r="E267" s="16" t="n"/>
      <c r="F267" s="16" t="n"/>
      <c r="G267" s="17" t="n"/>
      <c r="H267" s="16" t="n"/>
    </row>
    <row r="268">
      <c r="A268" s="15" t="n"/>
      <c r="B268" s="16" t="n"/>
      <c r="C268" s="16" t="n"/>
      <c r="D268" s="16" t="n"/>
      <c r="E268" s="16" t="n"/>
      <c r="F268" s="16" t="n"/>
      <c r="G268" s="17" t="n"/>
      <c r="H268" s="16" t="n"/>
    </row>
    <row r="269">
      <c r="A269" s="15" t="n"/>
      <c r="B269" s="16" t="n"/>
      <c r="C269" s="16" t="n"/>
      <c r="D269" s="16" t="n"/>
      <c r="E269" s="16" t="n"/>
      <c r="F269" s="16" t="n"/>
      <c r="G269" s="17" t="n"/>
      <c r="H269" s="16" t="n"/>
    </row>
    <row r="270">
      <c r="A270" s="15" t="n"/>
      <c r="B270" s="16" t="n"/>
      <c r="C270" s="16" t="n"/>
      <c r="D270" s="16" t="n"/>
      <c r="E270" s="16" t="n"/>
      <c r="F270" s="16" t="n"/>
      <c r="G270" s="17" t="n"/>
      <c r="H270" s="16" t="n"/>
    </row>
    <row r="271">
      <c r="A271" s="15" t="n"/>
      <c r="B271" s="16" t="n"/>
      <c r="C271" s="16" t="n"/>
      <c r="D271" s="16" t="n"/>
      <c r="E271" s="16" t="n"/>
      <c r="F271" s="16" t="n"/>
      <c r="G271" s="17" t="n"/>
      <c r="H271" s="16" t="n"/>
    </row>
    <row r="272">
      <c r="A272" s="15" t="n"/>
      <c r="B272" s="16" t="n"/>
      <c r="C272" s="16" t="n"/>
      <c r="D272" s="16" t="n"/>
      <c r="E272" s="16" t="n"/>
      <c r="F272" s="16" t="n"/>
      <c r="G272" s="17" t="n"/>
      <c r="H272" s="16" t="n"/>
    </row>
    <row r="273">
      <c r="A273" s="15" t="n"/>
      <c r="B273" s="16" t="n"/>
      <c r="C273" s="16" t="n"/>
      <c r="D273" s="16" t="n"/>
      <c r="E273" s="16" t="n"/>
      <c r="F273" s="16" t="n"/>
      <c r="G273" s="17" t="n"/>
      <c r="H273" s="16" t="n"/>
    </row>
    <row r="274">
      <c r="A274" s="15" t="n"/>
      <c r="B274" s="16" t="n"/>
      <c r="C274" s="16" t="n"/>
      <c r="D274" s="16" t="n"/>
      <c r="E274" s="16" t="n"/>
      <c r="F274" s="16" t="n"/>
      <c r="G274" s="17" t="n"/>
      <c r="H274" s="16" t="n"/>
    </row>
    <row r="275">
      <c r="A275" s="15" t="n"/>
      <c r="B275" s="16" t="n"/>
      <c r="C275" s="16" t="n"/>
      <c r="D275" s="16" t="n"/>
      <c r="E275" s="16" t="n"/>
      <c r="F275" s="16" t="n"/>
      <c r="G275" s="17" t="n"/>
      <c r="H275" s="16" t="n"/>
    </row>
    <row r="276">
      <c r="A276" s="15" t="n"/>
      <c r="B276" s="16" t="n"/>
      <c r="C276" s="16" t="n"/>
      <c r="D276" s="16" t="n"/>
      <c r="E276" s="16" t="n"/>
      <c r="F276" s="16" t="n"/>
      <c r="G276" s="17" t="n"/>
      <c r="H276" s="16" t="n"/>
    </row>
    <row r="277">
      <c r="A277" s="15" t="n"/>
      <c r="B277" s="16" t="n"/>
      <c r="C277" s="16" t="n"/>
      <c r="D277" s="16" t="n"/>
      <c r="E277" s="16" t="n"/>
      <c r="F277" s="16" t="n"/>
      <c r="G277" s="17" t="n"/>
      <c r="H277" s="16" t="n"/>
    </row>
    <row r="278">
      <c r="A278" s="15" t="n"/>
      <c r="B278" s="16" t="n"/>
      <c r="C278" s="16" t="n"/>
      <c r="D278" s="16" t="n"/>
      <c r="E278" s="16" t="n"/>
      <c r="F278" s="16" t="n"/>
      <c r="G278" s="17" t="n"/>
      <c r="H278" s="16" t="n"/>
    </row>
    <row r="279">
      <c r="A279" s="15" t="n"/>
      <c r="B279" s="16" t="n"/>
      <c r="C279" s="16" t="n"/>
      <c r="D279" s="16" t="n"/>
      <c r="E279" s="16" t="n"/>
      <c r="F279" s="16" t="n"/>
      <c r="G279" s="17" t="n"/>
      <c r="H279" s="16" t="n"/>
    </row>
    <row r="280">
      <c r="A280" s="15" t="n"/>
      <c r="B280" s="16" t="n"/>
      <c r="C280" s="16" t="n"/>
      <c r="D280" s="16" t="n"/>
      <c r="E280" s="16" t="n"/>
      <c r="F280" s="16" t="n"/>
      <c r="G280" s="17" t="n"/>
      <c r="H280" s="16" t="n"/>
    </row>
    <row r="281">
      <c r="A281" s="15" t="n"/>
      <c r="B281" s="16" t="n"/>
      <c r="C281" s="16" t="n"/>
      <c r="D281" s="16" t="n"/>
      <c r="E281" s="16" t="n"/>
      <c r="F281" s="16" t="n"/>
      <c r="G281" s="17" t="n"/>
      <c r="H281" s="16" t="n"/>
    </row>
    <row r="282">
      <c r="A282" s="15" t="n"/>
      <c r="B282" s="16" t="n"/>
      <c r="C282" s="16" t="n"/>
      <c r="D282" s="16" t="n"/>
      <c r="E282" s="16" t="n"/>
      <c r="F282" s="16" t="n"/>
      <c r="G282" s="17" t="n"/>
      <c r="H282" s="16" t="n"/>
    </row>
    <row r="283">
      <c r="A283" s="15" t="n"/>
      <c r="B283" s="16" t="n"/>
      <c r="C283" s="16" t="n"/>
      <c r="D283" s="16" t="n"/>
      <c r="E283" s="16" t="n"/>
      <c r="F283" s="16" t="n"/>
      <c r="G283" s="17" t="n"/>
      <c r="H283" s="16" t="n"/>
    </row>
    <row r="284">
      <c r="A284" s="15" t="n"/>
      <c r="B284" s="16" t="n"/>
      <c r="C284" s="16" t="n"/>
      <c r="D284" s="16" t="n"/>
      <c r="E284" s="16" t="n"/>
      <c r="F284" s="16" t="n"/>
      <c r="G284" s="17" t="n"/>
      <c r="H284" s="16" t="n"/>
    </row>
    <row r="285">
      <c r="A285" s="15" t="n"/>
      <c r="B285" s="16" t="n"/>
      <c r="C285" s="16" t="n"/>
      <c r="D285" s="16" t="n"/>
      <c r="E285" s="16" t="n"/>
      <c r="F285" s="16" t="n"/>
      <c r="G285" s="17" t="n"/>
      <c r="H285" s="16" t="n"/>
    </row>
    <row r="286">
      <c r="A286" s="15" t="n"/>
      <c r="B286" s="16" t="n"/>
      <c r="C286" s="16" t="n"/>
      <c r="D286" s="16" t="n"/>
      <c r="E286" s="16" t="n"/>
      <c r="F286" s="16" t="n"/>
      <c r="G286" s="17" t="n"/>
      <c r="H286" s="16" t="n"/>
    </row>
    <row r="287">
      <c r="A287" s="15" t="n"/>
      <c r="B287" s="16" t="n"/>
      <c r="C287" s="16" t="n"/>
      <c r="D287" s="16" t="n"/>
      <c r="E287" s="16" t="n"/>
      <c r="F287" s="16" t="n"/>
      <c r="G287" s="17" t="n"/>
      <c r="H287" s="16" t="n"/>
    </row>
    <row r="288">
      <c r="A288" s="15" t="n"/>
      <c r="B288" s="16" t="n"/>
      <c r="C288" s="16" t="n"/>
      <c r="D288" s="16" t="n"/>
      <c r="E288" s="16" t="n"/>
      <c r="F288" s="16" t="n"/>
      <c r="G288" s="17" t="n"/>
      <c r="H288" s="16" t="n"/>
    </row>
    <row r="289">
      <c r="A289" s="15" t="n"/>
      <c r="B289" s="16" t="n"/>
      <c r="C289" s="16" t="n"/>
      <c r="D289" s="16" t="n"/>
      <c r="E289" s="16" t="n"/>
      <c r="F289" s="16" t="n"/>
      <c r="G289" s="17" t="n"/>
      <c r="H289" s="16" t="n"/>
    </row>
    <row r="290">
      <c r="A290" s="15" t="n"/>
      <c r="B290" s="16" t="n"/>
      <c r="C290" s="16" t="n"/>
      <c r="D290" s="16" t="n"/>
      <c r="E290" s="16" t="n"/>
      <c r="F290" s="16" t="n"/>
      <c r="G290" s="17" t="n"/>
      <c r="H290" s="16" t="n"/>
    </row>
    <row r="291">
      <c r="A291" s="15" t="n"/>
      <c r="B291" s="16" t="n"/>
      <c r="C291" s="16" t="n"/>
      <c r="D291" s="16" t="n"/>
      <c r="E291" s="16" t="n"/>
      <c r="F291" s="16" t="n"/>
      <c r="G291" s="17" t="n"/>
      <c r="H291" s="16" t="n"/>
    </row>
    <row r="292">
      <c r="A292" s="15" t="n"/>
      <c r="B292" s="16" t="n"/>
      <c r="C292" s="16" t="n"/>
      <c r="D292" s="16" t="n"/>
      <c r="E292" s="16" t="n"/>
      <c r="F292" s="16" t="n"/>
      <c r="G292" s="17" t="n"/>
      <c r="H292" s="16" t="n"/>
    </row>
    <row r="293">
      <c r="A293" s="15" t="n"/>
      <c r="B293" s="16" t="n"/>
      <c r="C293" s="16" t="n"/>
      <c r="D293" s="16" t="n"/>
      <c r="E293" s="16" t="n"/>
      <c r="F293" s="16" t="n"/>
      <c r="G293" s="17" t="n"/>
      <c r="H293" s="16" t="n"/>
    </row>
    <row r="294">
      <c r="A294" s="15" t="n"/>
      <c r="B294" s="16" t="n"/>
      <c r="C294" s="16" t="n"/>
      <c r="D294" s="16" t="n"/>
      <c r="E294" s="16" t="n"/>
      <c r="F294" s="16" t="n"/>
      <c r="G294" s="17" t="n"/>
      <c r="H294" s="16" t="n"/>
    </row>
    <row r="295">
      <c r="A295" s="15" t="n"/>
      <c r="B295" s="16" t="n"/>
      <c r="C295" s="16" t="n"/>
      <c r="D295" s="16" t="n"/>
      <c r="E295" s="16" t="n"/>
      <c r="F295" s="16" t="n"/>
      <c r="G295" s="17" t="n"/>
      <c r="H295" s="16" t="n"/>
    </row>
    <row r="296">
      <c r="A296" s="15" t="n"/>
      <c r="B296" s="16" t="n"/>
      <c r="C296" s="16" t="n"/>
      <c r="D296" s="16" t="n"/>
      <c r="E296" s="16" t="n"/>
      <c r="F296" s="16" t="n"/>
      <c r="G296" s="17" t="n"/>
      <c r="H296" s="16" t="n"/>
    </row>
    <row r="297">
      <c r="A297" s="15" t="n"/>
      <c r="B297" s="16" t="n"/>
      <c r="C297" s="16" t="n"/>
      <c r="D297" s="16" t="n"/>
      <c r="E297" s="16" t="n"/>
      <c r="F297" s="16" t="n"/>
      <c r="G297" s="17" t="n"/>
      <c r="H297" s="16" t="n"/>
    </row>
    <row r="298">
      <c r="A298" s="15" t="n"/>
      <c r="B298" s="16" t="n"/>
      <c r="C298" s="16" t="n"/>
      <c r="D298" s="16" t="n"/>
      <c r="E298" s="16" t="n"/>
      <c r="F298" s="16" t="n"/>
      <c r="G298" s="17" t="n"/>
      <c r="H298" s="16" t="n"/>
    </row>
    <row r="299">
      <c r="A299" s="15" t="n"/>
      <c r="B299" s="16" t="n"/>
      <c r="C299" s="16" t="n"/>
      <c r="D299" s="16" t="n"/>
      <c r="E299" s="16" t="n"/>
      <c r="F299" s="16" t="n"/>
      <c r="G299" s="17" t="n"/>
      <c r="H299" s="16" t="n"/>
    </row>
    <row r="300">
      <c r="A300" s="15" t="n"/>
      <c r="B300" s="16" t="n"/>
      <c r="C300" s="16" t="n"/>
      <c r="D300" s="16" t="n"/>
      <c r="E300" s="16" t="n"/>
      <c r="F300" s="16" t="n"/>
      <c r="G300" s="17" t="n"/>
      <c r="H300" s="16" t="n"/>
    </row>
    <row r="301">
      <c r="A301" s="15" t="n"/>
      <c r="B301" s="16" t="n"/>
      <c r="C301" s="16" t="n"/>
      <c r="D301" s="16" t="n"/>
      <c r="E301" s="16" t="n"/>
      <c r="F301" s="16" t="n"/>
      <c r="G301" s="17" t="n"/>
      <c r="H301" s="16" t="n"/>
    </row>
    <row r="302">
      <c r="A302" s="15" t="n"/>
      <c r="B302" s="16" t="n"/>
      <c r="C302" s="16" t="n"/>
      <c r="D302" s="16" t="n"/>
      <c r="E302" s="16" t="n"/>
      <c r="F302" s="16" t="n"/>
      <c r="G302" s="17" t="n"/>
      <c r="H302" s="16" t="n"/>
    </row>
    <row r="303">
      <c r="A303" s="15" t="n"/>
      <c r="B303" s="16" t="n"/>
      <c r="C303" s="16" t="n"/>
      <c r="D303" s="16" t="n"/>
      <c r="E303" s="16" t="n"/>
      <c r="F303" s="16" t="n"/>
      <c r="G303" s="17" t="n"/>
      <c r="H303" s="16" t="n"/>
    </row>
    <row r="304">
      <c r="A304" s="15" t="n"/>
      <c r="B304" s="16" t="n"/>
      <c r="C304" s="16" t="n"/>
      <c r="D304" s="16" t="n"/>
      <c r="E304" s="16" t="n"/>
      <c r="F304" s="16" t="n"/>
      <c r="G304" s="17" t="n"/>
      <c r="H304" s="16" t="n"/>
    </row>
    <row r="305">
      <c r="A305" s="15" t="n"/>
      <c r="B305" s="16" t="n"/>
      <c r="C305" s="16" t="n"/>
      <c r="D305" s="16" t="n"/>
      <c r="E305" s="16" t="n"/>
      <c r="F305" s="16" t="n"/>
      <c r="G305" s="17" t="n"/>
      <c r="H305" s="16" t="n"/>
    </row>
    <row r="306">
      <c r="A306" s="15" t="n"/>
      <c r="B306" s="16" t="n"/>
      <c r="C306" s="16" t="n"/>
      <c r="D306" s="16" t="n"/>
      <c r="E306" s="16" t="n"/>
      <c r="F306" s="16" t="n"/>
      <c r="G306" s="17" t="n"/>
      <c r="H306" s="16" t="n"/>
    </row>
    <row r="307">
      <c r="A307" s="15" t="n"/>
      <c r="B307" s="16" t="n"/>
      <c r="C307" s="16" t="n"/>
      <c r="D307" s="16" t="n"/>
      <c r="E307" s="16" t="n"/>
      <c r="F307" s="16" t="n"/>
      <c r="G307" s="17" t="n"/>
      <c r="H307" s="16" t="n"/>
    </row>
    <row r="308">
      <c r="A308" s="15" t="n"/>
      <c r="B308" s="16" t="n"/>
      <c r="C308" s="16" t="n"/>
      <c r="D308" s="16" t="n"/>
      <c r="E308" s="16" t="n"/>
      <c r="F308" s="16" t="n"/>
      <c r="G308" s="17" t="n"/>
      <c r="H308" s="16" t="n"/>
    </row>
    <row r="309">
      <c r="A309" s="15" t="n"/>
      <c r="B309" s="16" t="n"/>
      <c r="C309" s="16" t="n"/>
      <c r="D309" s="16" t="n"/>
      <c r="E309" s="16" t="n"/>
      <c r="F309" s="16" t="n"/>
      <c r="G309" s="17" t="n"/>
      <c r="H309" s="16" t="n"/>
    </row>
    <row r="310">
      <c r="A310" s="15" t="n"/>
      <c r="B310" s="16" t="n"/>
      <c r="C310" s="16" t="n"/>
      <c r="D310" s="16" t="n"/>
      <c r="E310" s="16" t="n"/>
      <c r="F310" s="16" t="n"/>
      <c r="G310" s="17" t="n"/>
      <c r="H310" s="16" t="n"/>
    </row>
    <row r="311">
      <c r="A311" s="15" t="n"/>
      <c r="B311" s="16" t="n"/>
      <c r="C311" s="16" t="n"/>
      <c r="D311" s="16" t="n"/>
      <c r="E311" s="16" t="n"/>
      <c r="F311" s="16" t="n"/>
      <c r="G311" s="17" t="n"/>
      <c r="H311" s="16" t="n"/>
    </row>
    <row r="312">
      <c r="A312" s="15" t="n"/>
      <c r="B312" s="16" t="n"/>
      <c r="C312" s="16" t="n"/>
      <c r="D312" s="16" t="n"/>
      <c r="E312" s="16" t="n"/>
      <c r="F312" s="16" t="n"/>
      <c r="G312" s="17" t="n"/>
      <c r="H312" s="16" t="n"/>
    </row>
    <row r="313">
      <c r="A313" s="15" t="n"/>
      <c r="B313" s="16" t="n"/>
      <c r="C313" s="16" t="n"/>
      <c r="D313" s="16" t="n"/>
      <c r="E313" s="16" t="n"/>
      <c r="F313" s="16" t="n"/>
      <c r="G313" s="17" t="n"/>
      <c r="H313" s="16" t="n"/>
    </row>
    <row r="314">
      <c r="A314" s="15" t="n"/>
      <c r="B314" s="16" t="n"/>
      <c r="C314" s="16" t="n"/>
      <c r="D314" s="16" t="n"/>
      <c r="E314" s="16" t="n"/>
      <c r="F314" s="16" t="n"/>
      <c r="G314" s="17" t="n"/>
      <c r="H314" s="16" t="n"/>
    </row>
    <row r="315">
      <c r="A315" s="15" t="n"/>
      <c r="B315" s="16" t="n"/>
      <c r="C315" s="16" t="n"/>
      <c r="D315" s="16" t="n"/>
      <c r="E315" s="16" t="n"/>
      <c r="F315" s="16" t="n"/>
      <c r="G315" s="17" t="n"/>
      <c r="H315" s="16" t="n"/>
    </row>
    <row r="316">
      <c r="A316" s="15" t="n"/>
      <c r="B316" s="16" t="n"/>
      <c r="C316" s="16" t="n"/>
      <c r="D316" s="16" t="n"/>
      <c r="E316" s="16" t="n"/>
      <c r="F316" s="16" t="n"/>
      <c r="G316" s="17" t="n"/>
      <c r="H316" s="16" t="n"/>
    </row>
    <row r="317">
      <c r="A317" s="15" t="n"/>
      <c r="B317" s="16" t="n"/>
      <c r="C317" s="16" t="n"/>
      <c r="D317" s="16" t="n"/>
      <c r="E317" s="16" t="n"/>
      <c r="F317" s="16" t="n"/>
      <c r="G317" s="17" t="n"/>
      <c r="H317" s="16" t="n"/>
    </row>
    <row r="318">
      <c r="A318" s="15" t="n"/>
      <c r="B318" s="16" t="n"/>
      <c r="C318" s="16" t="n"/>
      <c r="D318" s="16" t="n"/>
      <c r="E318" s="16" t="n"/>
      <c r="F318" s="16" t="n"/>
      <c r="G318" s="17" t="n"/>
      <c r="H318" s="16" t="n"/>
    </row>
    <row r="319">
      <c r="A319" s="15" t="n"/>
      <c r="B319" s="16" t="n"/>
      <c r="C319" s="16" t="n"/>
      <c r="D319" s="16" t="n"/>
      <c r="E319" s="16" t="n"/>
      <c r="F319" s="16" t="n"/>
      <c r="G319" s="17" t="n"/>
      <c r="H319" s="16" t="n"/>
    </row>
    <row r="320">
      <c r="A320" s="15" t="n"/>
      <c r="B320" s="16" t="n"/>
      <c r="C320" s="16" t="n"/>
      <c r="D320" s="16" t="n"/>
      <c r="E320" s="16" t="n"/>
      <c r="F320" s="16" t="n"/>
      <c r="G320" s="17" t="n"/>
      <c r="H320" s="16" t="n"/>
    </row>
    <row r="321">
      <c r="A321" s="15" t="n"/>
      <c r="B321" s="16" t="n"/>
      <c r="C321" s="16" t="n"/>
      <c r="D321" s="16" t="n"/>
      <c r="E321" s="16" t="n"/>
      <c r="F321" s="16" t="n"/>
      <c r="G321" s="17" t="n"/>
      <c r="H321" s="16" t="n"/>
    </row>
    <row r="322">
      <c r="A322" s="15" t="n"/>
      <c r="B322" s="16" t="n"/>
      <c r="C322" s="16" t="n"/>
      <c r="D322" s="16" t="n"/>
      <c r="E322" s="16" t="n"/>
      <c r="F322" s="16" t="n"/>
      <c r="G322" s="17" t="n"/>
      <c r="H322" s="16" t="n"/>
    </row>
    <row r="323">
      <c r="A323" s="15" t="n"/>
      <c r="B323" s="16" t="n"/>
      <c r="C323" s="16" t="n"/>
      <c r="D323" s="16" t="n"/>
      <c r="E323" s="16" t="n"/>
      <c r="F323" s="16" t="n"/>
      <c r="G323" s="17" t="n"/>
      <c r="H323" s="16" t="n"/>
    </row>
    <row r="324">
      <c r="A324" s="15" t="n"/>
      <c r="B324" s="16" t="n"/>
      <c r="C324" s="16" t="n"/>
      <c r="D324" s="16" t="n"/>
      <c r="E324" s="16" t="n"/>
      <c r="F324" s="16" t="n"/>
      <c r="G324" s="17" t="n"/>
      <c r="H324" s="16" t="n"/>
    </row>
    <row r="325">
      <c r="A325" s="15" t="n"/>
      <c r="B325" s="16" t="n"/>
      <c r="C325" s="16" t="n"/>
      <c r="D325" s="16" t="n"/>
      <c r="E325" s="16" t="n"/>
      <c r="F325" s="16" t="n"/>
      <c r="G325" s="17" t="n"/>
      <c r="H325" s="16" t="n"/>
    </row>
    <row r="326">
      <c r="A326" s="15" t="n"/>
      <c r="B326" s="16" t="n"/>
      <c r="C326" s="16" t="n"/>
      <c r="D326" s="16" t="n"/>
      <c r="E326" s="16" t="n"/>
      <c r="F326" s="16" t="n"/>
      <c r="G326" s="17" t="n"/>
      <c r="H326" s="16" t="n"/>
    </row>
    <row r="327">
      <c r="A327" s="15" t="n"/>
      <c r="B327" s="16" t="n"/>
      <c r="C327" s="16" t="n"/>
      <c r="D327" s="16" t="n"/>
      <c r="E327" s="16" t="n"/>
      <c r="F327" s="16" t="n"/>
      <c r="G327" s="17" t="n"/>
      <c r="H327" s="16" t="n"/>
    </row>
    <row r="328">
      <c r="A328" s="15" t="n"/>
      <c r="B328" s="16" t="n"/>
      <c r="C328" s="16" t="n"/>
      <c r="D328" s="16" t="n"/>
      <c r="E328" s="16" t="n"/>
      <c r="F328" s="16" t="n"/>
      <c r="G328" s="17" t="n"/>
      <c r="H328" s="16" t="n"/>
    </row>
    <row r="329">
      <c r="A329" s="15" t="n"/>
      <c r="B329" s="16" t="n"/>
      <c r="C329" s="16" t="n"/>
      <c r="D329" s="16" t="n"/>
      <c r="E329" s="16" t="n"/>
      <c r="F329" s="16" t="n"/>
      <c r="G329" s="17" t="n"/>
      <c r="H329" s="16" t="n"/>
    </row>
    <row r="330">
      <c r="A330" s="15" t="n"/>
      <c r="B330" s="16" t="n"/>
      <c r="C330" s="16" t="n"/>
      <c r="D330" s="16" t="n"/>
      <c r="E330" s="16" t="n"/>
      <c r="F330" s="16" t="n"/>
      <c r="G330" s="17" t="n"/>
      <c r="H330" s="16" t="n"/>
    </row>
    <row r="331">
      <c r="A331" s="15" t="n"/>
      <c r="B331" s="16" t="n"/>
      <c r="C331" s="16" t="n"/>
      <c r="D331" s="16" t="n"/>
      <c r="E331" s="16" t="n"/>
      <c r="F331" s="16" t="n"/>
      <c r="G331" s="17" t="n"/>
      <c r="H331" s="16" t="n"/>
    </row>
    <row r="332">
      <c r="A332" s="15" t="n"/>
      <c r="B332" s="16" t="n"/>
      <c r="C332" s="16" t="n"/>
      <c r="D332" s="16" t="n"/>
      <c r="E332" s="16" t="n"/>
      <c r="F332" s="16" t="n"/>
      <c r="G332" s="17" t="n"/>
      <c r="H332" s="16" t="n"/>
    </row>
    <row r="333">
      <c r="A333" s="15" t="n"/>
      <c r="B333" s="16" t="n"/>
      <c r="C333" s="16" t="n"/>
      <c r="D333" s="16" t="n"/>
      <c r="E333" s="16" t="n"/>
      <c r="F333" s="16" t="n"/>
      <c r="G333" s="17" t="n"/>
      <c r="H333" s="16" t="n"/>
    </row>
    <row r="334">
      <c r="A334" s="15" t="n"/>
      <c r="B334" s="16" t="n"/>
      <c r="C334" s="16" t="n"/>
      <c r="D334" s="16" t="n"/>
      <c r="E334" s="16" t="n"/>
      <c r="F334" s="16" t="n"/>
      <c r="G334" s="17" t="n"/>
      <c r="H334" s="16" t="n"/>
    </row>
    <row r="335">
      <c r="A335" s="15" t="n"/>
      <c r="B335" s="16" t="n"/>
      <c r="C335" s="16" t="n"/>
      <c r="D335" s="16" t="n"/>
      <c r="E335" s="16" t="n"/>
      <c r="F335" s="16" t="n"/>
      <c r="G335" s="17" t="n"/>
      <c r="H335" s="16" t="n"/>
    </row>
    <row r="336">
      <c r="A336" s="15" t="n"/>
      <c r="B336" s="16" t="n"/>
      <c r="C336" s="16" t="n"/>
      <c r="D336" s="16" t="n"/>
      <c r="E336" s="16" t="n"/>
      <c r="F336" s="16" t="n"/>
      <c r="G336" s="17" t="n"/>
      <c r="H336" s="16" t="n"/>
    </row>
    <row r="337">
      <c r="A337" s="15" t="n"/>
      <c r="B337" s="16" t="n"/>
      <c r="C337" s="16" t="n"/>
      <c r="D337" s="16" t="n"/>
      <c r="E337" s="16" t="n"/>
      <c r="F337" s="16" t="n"/>
      <c r="G337" s="17" t="n"/>
      <c r="H337" s="16" t="n"/>
    </row>
    <row r="338">
      <c r="A338" s="15" t="n"/>
      <c r="B338" s="16" t="n"/>
      <c r="C338" s="16" t="n"/>
      <c r="D338" s="16" t="n"/>
      <c r="E338" s="16" t="n"/>
      <c r="F338" s="16" t="n"/>
      <c r="G338" s="17" t="n"/>
      <c r="H338" s="16" t="n"/>
    </row>
    <row r="339">
      <c r="A339" s="15" t="n"/>
      <c r="B339" s="16" t="n"/>
      <c r="C339" s="16" t="n"/>
      <c r="D339" s="16" t="n"/>
      <c r="E339" s="16" t="n"/>
      <c r="F339" s="16" t="n"/>
      <c r="G339" s="17" t="n"/>
      <c r="H339" s="16" t="n"/>
    </row>
    <row r="340">
      <c r="A340" s="15" t="n"/>
      <c r="B340" s="16" t="n"/>
      <c r="C340" s="16" t="n"/>
      <c r="D340" s="16" t="n"/>
      <c r="E340" s="16" t="n"/>
      <c r="F340" s="16" t="n"/>
      <c r="G340" s="17" t="n"/>
      <c r="H340" s="16" t="n"/>
    </row>
    <row r="341">
      <c r="A341" s="15" t="n"/>
      <c r="B341" s="16" t="n"/>
      <c r="C341" s="16" t="n"/>
      <c r="D341" s="16" t="n"/>
      <c r="E341" s="16" t="n"/>
      <c r="F341" s="16" t="n"/>
      <c r="G341" s="17" t="n"/>
      <c r="H341" s="16" t="n"/>
    </row>
    <row r="342">
      <c r="A342" s="15" t="n"/>
      <c r="B342" s="16" t="n"/>
      <c r="C342" s="16" t="n"/>
      <c r="D342" s="16" t="n"/>
      <c r="E342" s="16" t="n"/>
      <c r="F342" s="16" t="n"/>
      <c r="G342" s="17" t="n"/>
      <c r="H342" s="16" t="n"/>
    </row>
    <row r="343">
      <c r="A343" s="15" t="n"/>
      <c r="B343" s="16" t="n"/>
      <c r="C343" s="16" t="n"/>
      <c r="D343" s="16" t="n"/>
      <c r="E343" s="16" t="n"/>
      <c r="F343" s="16" t="n"/>
      <c r="G343" s="17" t="n"/>
      <c r="H343" s="16" t="n"/>
    </row>
    <row r="344">
      <c r="A344" s="15" t="n"/>
      <c r="B344" s="16" t="n"/>
      <c r="C344" s="16" t="n"/>
      <c r="D344" s="16" t="n"/>
      <c r="E344" s="16" t="n"/>
      <c r="F344" s="16" t="n"/>
      <c r="G344" s="17" t="n"/>
      <c r="H344" s="16" t="n"/>
    </row>
    <row r="345">
      <c r="A345" s="15" t="n"/>
      <c r="B345" s="16" t="n"/>
      <c r="C345" s="16" t="n"/>
      <c r="D345" s="16" t="n"/>
      <c r="E345" s="16" t="n"/>
      <c r="F345" s="16" t="n"/>
      <c r="G345" s="17" t="n"/>
      <c r="H345" s="16" t="n"/>
    </row>
    <row r="346">
      <c r="A346" s="15" t="n"/>
      <c r="B346" s="16" t="n"/>
      <c r="C346" s="16" t="n"/>
      <c r="D346" s="16" t="n"/>
      <c r="E346" s="16" t="n"/>
      <c r="F346" s="16" t="n"/>
      <c r="G346" s="17" t="n"/>
      <c r="H346" s="16" t="n"/>
    </row>
    <row r="347">
      <c r="A347" s="15" t="n"/>
      <c r="B347" s="16" t="n"/>
      <c r="C347" s="16" t="n"/>
      <c r="D347" s="16" t="n"/>
      <c r="E347" s="16" t="n"/>
      <c r="F347" s="16" t="n"/>
      <c r="G347" s="17" t="n"/>
      <c r="H347" s="16" t="n"/>
    </row>
    <row r="348">
      <c r="A348" s="15" t="n"/>
      <c r="B348" s="16" t="n"/>
      <c r="C348" s="16" t="n"/>
      <c r="D348" s="16" t="n"/>
      <c r="E348" s="16" t="n"/>
      <c r="F348" s="16" t="n"/>
      <c r="G348" s="17" t="n"/>
      <c r="H348" s="16" t="n"/>
    </row>
    <row r="349">
      <c r="A349" s="15" t="n"/>
      <c r="B349" s="16" t="n"/>
      <c r="C349" s="16" t="n"/>
      <c r="D349" s="16" t="n"/>
      <c r="E349" s="16" t="n"/>
      <c r="F349" s="16" t="n"/>
      <c r="G349" s="17" t="n"/>
      <c r="H349" s="16" t="n"/>
    </row>
    <row r="350">
      <c r="A350" s="15" t="n"/>
      <c r="B350" s="16" t="n"/>
      <c r="C350" s="16" t="n"/>
      <c r="D350" s="16" t="n"/>
      <c r="E350" s="16" t="n"/>
      <c r="F350" s="16" t="n"/>
      <c r="G350" s="17" t="n"/>
      <c r="H350" s="16" t="n"/>
    </row>
    <row r="351">
      <c r="A351" s="15" t="n"/>
      <c r="B351" s="16" t="n"/>
      <c r="C351" s="16" t="n"/>
      <c r="D351" s="16" t="n"/>
      <c r="E351" s="16" t="n"/>
      <c r="F351" s="16" t="n"/>
      <c r="G351" s="17" t="n"/>
      <c r="H351" s="16" t="n"/>
    </row>
    <row r="352">
      <c r="A352" s="15" t="n"/>
      <c r="B352" s="16" t="n"/>
      <c r="C352" s="16" t="n"/>
      <c r="D352" s="16" t="n"/>
      <c r="E352" s="16" t="n"/>
      <c r="F352" s="16" t="n"/>
      <c r="G352" s="17" t="n"/>
      <c r="H352" s="16" t="n"/>
    </row>
    <row r="353">
      <c r="A353" s="15" t="n"/>
      <c r="B353" s="16" t="n"/>
      <c r="C353" s="16" t="n"/>
      <c r="D353" s="16" t="n"/>
      <c r="E353" s="16" t="n"/>
      <c r="F353" s="16" t="n"/>
      <c r="G353" s="17" t="n"/>
      <c r="H353" s="16" t="n"/>
    </row>
    <row r="354">
      <c r="A354" s="15" t="n"/>
      <c r="B354" s="16" t="n"/>
      <c r="C354" s="16" t="n"/>
      <c r="D354" s="16" t="n"/>
      <c r="E354" s="16" t="n"/>
      <c r="F354" s="16" t="n"/>
      <c r="G354" s="17" t="n"/>
      <c r="H354" s="16" t="n"/>
    </row>
    <row r="355">
      <c r="A355" s="15" t="n"/>
      <c r="B355" s="16" t="n"/>
      <c r="C355" s="16" t="n"/>
      <c r="D355" s="16" t="n"/>
      <c r="E355" s="16" t="n"/>
      <c r="F355" s="16" t="n"/>
      <c r="G355" s="17" t="n"/>
      <c r="H355" s="16" t="n"/>
    </row>
    <row r="356">
      <c r="A356" s="15" t="n"/>
      <c r="B356" s="16" t="n"/>
      <c r="C356" s="16" t="n"/>
      <c r="D356" s="16" t="n"/>
      <c r="E356" s="16" t="n"/>
      <c r="F356" s="16" t="n"/>
      <c r="G356" s="17" t="n"/>
      <c r="H356" s="16" t="n"/>
    </row>
    <row r="357">
      <c r="A357" s="15" t="n"/>
      <c r="B357" s="16" t="n"/>
      <c r="C357" s="16" t="n"/>
      <c r="D357" s="16" t="n"/>
      <c r="E357" s="16" t="n"/>
      <c r="F357" s="16" t="n"/>
      <c r="G357" s="17" t="n"/>
      <c r="H357" s="16" t="n"/>
    </row>
    <row r="358">
      <c r="A358" s="15" t="n"/>
      <c r="B358" s="16" t="n"/>
      <c r="C358" s="16" t="n"/>
      <c r="D358" s="16" t="n"/>
      <c r="E358" s="16" t="n"/>
      <c r="F358" s="16" t="n"/>
      <c r="G358" s="17" t="n"/>
      <c r="H358" s="16" t="n"/>
    </row>
    <row r="359">
      <c r="A359" s="15" t="n"/>
      <c r="B359" s="16" t="n"/>
      <c r="C359" s="16" t="n"/>
      <c r="D359" s="16" t="n"/>
      <c r="E359" s="16" t="n"/>
      <c r="F359" s="16" t="n"/>
      <c r="G359" s="17" t="n"/>
      <c r="H359" s="16" t="n"/>
    </row>
    <row r="360">
      <c r="A360" s="15" t="n"/>
      <c r="B360" s="16" t="n"/>
      <c r="C360" s="16" t="n"/>
      <c r="D360" s="16" t="n"/>
      <c r="E360" s="16" t="n"/>
      <c r="F360" s="16" t="n"/>
      <c r="G360" s="17" t="n"/>
      <c r="H360" s="16" t="n"/>
    </row>
    <row r="361">
      <c r="A361" s="15" t="n"/>
      <c r="B361" s="16" t="n"/>
      <c r="C361" s="16" t="n"/>
      <c r="D361" s="16" t="n"/>
      <c r="E361" s="16" t="n"/>
      <c r="F361" s="16" t="n"/>
      <c r="G361" s="17" t="n"/>
      <c r="H361" s="16" t="n"/>
    </row>
    <row r="362">
      <c r="A362" s="15" t="n"/>
      <c r="B362" s="16" t="n"/>
      <c r="C362" s="16" t="n"/>
      <c r="D362" s="16" t="n"/>
      <c r="E362" s="16" t="n"/>
      <c r="F362" s="16" t="n"/>
      <c r="G362" s="17" t="n"/>
      <c r="H362" s="16" t="n"/>
    </row>
    <row r="363">
      <c r="A363" s="15" t="n"/>
      <c r="B363" s="16" t="n"/>
      <c r="C363" s="16" t="n"/>
      <c r="D363" s="16" t="n"/>
      <c r="E363" s="16" t="n"/>
      <c r="F363" s="16" t="n"/>
      <c r="G363" s="17" t="n"/>
      <c r="H363" s="16" t="n"/>
    </row>
    <row r="364">
      <c r="A364" s="15" t="n"/>
      <c r="B364" s="16" t="n"/>
      <c r="C364" s="16" t="n"/>
      <c r="D364" s="16" t="n"/>
      <c r="E364" s="16" t="n"/>
      <c r="F364" s="16" t="n"/>
      <c r="G364" s="17" t="n"/>
      <c r="H364" s="16" t="n"/>
    </row>
    <row r="365">
      <c r="A365" s="15" t="n"/>
      <c r="B365" s="16" t="n"/>
      <c r="C365" s="16" t="n"/>
      <c r="D365" s="16" t="n"/>
      <c r="E365" s="16" t="n"/>
      <c r="F365" s="16" t="n"/>
      <c r="G365" s="17" t="n"/>
      <c r="H365" s="16" t="n"/>
    </row>
    <row r="366">
      <c r="A366" s="15" t="n"/>
      <c r="B366" s="16" t="n"/>
      <c r="C366" s="16" t="n"/>
      <c r="D366" s="16" t="n"/>
      <c r="E366" s="16" t="n"/>
      <c r="F366" s="16" t="n"/>
      <c r="G366" s="17" t="n"/>
      <c r="H366" s="16" t="n"/>
    </row>
    <row r="367">
      <c r="A367" s="15" t="n"/>
      <c r="B367" s="16" t="n"/>
      <c r="C367" s="16" t="n"/>
      <c r="D367" s="16" t="n"/>
      <c r="E367" s="16" t="n"/>
      <c r="F367" s="16" t="n"/>
      <c r="G367" s="17" t="n"/>
      <c r="H367" s="16" t="n"/>
    </row>
    <row r="368">
      <c r="A368" s="15" t="n"/>
      <c r="B368" s="16" t="n"/>
      <c r="C368" s="16" t="n"/>
      <c r="D368" s="16" t="n"/>
      <c r="E368" s="16" t="n"/>
      <c r="F368" s="16" t="n"/>
      <c r="G368" s="17" t="n"/>
      <c r="H368" s="16" t="n"/>
    </row>
    <row r="369">
      <c r="A369" s="15" t="n"/>
      <c r="B369" s="16" t="n"/>
      <c r="C369" s="16" t="n"/>
      <c r="D369" s="16" t="n"/>
      <c r="E369" s="16" t="n"/>
      <c r="F369" s="16" t="n"/>
      <c r="G369" s="17" t="n"/>
      <c r="H369" s="16" t="n"/>
    </row>
    <row r="370">
      <c r="A370" s="15" t="n"/>
      <c r="B370" s="16" t="n"/>
      <c r="C370" s="16" t="n"/>
      <c r="D370" s="16" t="n"/>
      <c r="E370" s="16" t="n"/>
      <c r="F370" s="16" t="n"/>
      <c r="G370" s="17" t="n"/>
      <c r="H370" s="16" t="n"/>
    </row>
    <row r="371">
      <c r="A371" s="15" t="n"/>
      <c r="B371" s="16" t="n"/>
      <c r="C371" s="16" t="n"/>
      <c r="D371" s="16" t="n"/>
      <c r="E371" s="16" t="n"/>
      <c r="F371" s="16" t="n"/>
      <c r="G371" s="17" t="n"/>
      <c r="H371" s="16" t="n"/>
    </row>
    <row r="372">
      <c r="A372" s="15" t="n"/>
      <c r="B372" s="16" t="n"/>
      <c r="C372" s="16" t="n"/>
      <c r="D372" s="16" t="n"/>
      <c r="E372" s="16" t="n"/>
      <c r="F372" s="16" t="n"/>
      <c r="G372" s="17" t="n"/>
      <c r="H372" s="16" t="n"/>
    </row>
    <row r="373">
      <c r="A373" s="15" t="n"/>
      <c r="B373" s="16" t="n"/>
      <c r="C373" s="16" t="n"/>
      <c r="D373" s="16" t="n"/>
      <c r="E373" s="16" t="n"/>
      <c r="F373" s="16" t="n"/>
      <c r="G373" s="17" t="n"/>
      <c r="H373" s="16" t="n"/>
    </row>
    <row r="374">
      <c r="A374" s="15" t="n"/>
      <c r="B374" s="16" t="n"/>
      <c r="C374" s="16" t="n"/>
      <c r="D374" s="16" t="n"/>
      <c r="E374" s="16" t="n"/>
      <c r="F374" s="16" t="n"/>
      <c r="G374" s="17" t="n"/>
      <c r="H374" s="16" t="n"/>
    </row>
    <row r="375">
      <c r="A375" s="15" t="n"/>
      <c r="B375" s="16" t="n"/>
      <c r="C375" s="16" t="n"/>
      <c r="D375" s="16" t="n"/>
      <c r="E375" s="16" t="n"/>
      <c r="F375" s="16" t="n"/>
      <c r="G375" s="17" t="n"/>
      <c r="H375" s="16" t="n"/>
    </row>
    <row r="376">
      <c r="A376" s="15" t="n"/>
      <c r="B376" s="16" t="n"/>
      <c r="C376" s="16" t="n"/>
      <c r="D376" s="16" t="n"/>
      <c r="E376" s="16" t="n"/>
      <c r="F376" s="16" t="n"/>
      <c r="G376" s="17" t="n"/>
      <c r="H376" s="16" t="n"/>
    </row>
    <row r="377">
      <c r="A377" s="15" t="n"/>
      <c r="B377" s="16" t="n"/>
      <c r="C377" s="16" t="n"/>
      <c r="D377" s="16" t="n"/>
      <c r="E377" s="16" t="n"/>
      <c r="F377" s="16" t="n"/>
      <c r="G377" s="17" t="n"/>
      <c r="H377" s="16" t="n"/>
    </row>
    <row r="378">
      <c r="A378" s="15" t="n"/>
      <c r="B378" s="16" t="n"/>
      <c r="C378" s="16" t="n"/>
      <c r="D378" s="16" t="n"/>
      <c r="E378" s="16" t="n"/>
      <c r="F378" s="16" t="n"/>
      <c r="G378" s="17" t="n"/>
      <c r="H378" s="16" t="n"/>
    </row>
    <row r="379">
      <c r="A379" s="15" t="n"/>
      <c r="B379" s="16" t="n"/>
      <c r="C379" s="16" t="n"/>
      <c r="D379" s="16" t="n"/>
      <c r="E379" s="16" t="n"/>
      <c r="F379" s="16" t="n"/>
      <c r="G379" s="17" t="n"/>
      <c r="H379" s="16" t="n"/>
    </row>
    <row r="380">
      <c r="A380" s="15" t="n"/>
      <c r="B380" s="16" t="n"/>
      <c r="C380" s="16" t="n"/>
      <c r="D380" s="16" t="n"/>
      <c r="E380" s="16" t="n"/>
      <c r="F380" s="16" t="n"/>
      <c r="G380" s="17" t="n"/>
      <c r="H380" s="16" t="n"/>
    </row>
    <row r="381">
      <c r="A381" s="15" t="n"/>
      <c r="B381" s="16" t="n"/>
      <c r="C381" s="16" t="n"/>
      <c r="D381" s="16" t="n"/>
      <c r="E381" s="16" t="n"/>
      <c r="F381" s="16" t="n"/>
      <c r="G381" s="17" t="n"/>
      <c r="H381" s="16" t="n"/>
    </row>
    <row r="382">
      <c r="A382" s="15" t="n"/>
      <c r="B382" s="16" t="n"/>
      <c r="C382" s="16" t="n"/>
      <c r="D382" s="16" t="n"/>
      <c r="E382" s="16" t="n"/>
      <c r="F382" s="16" t="n"/>
      <c r="G382" s="17" t="n"/>
      <c r="H382" s="16" t="n"/>
    </row>
    <row r="383">
      <c r="A383" s="15" t="n"/>
      <c r="B383" s="16" t="n"/>
      <c r="C383" s="16" t="n"/>
      <c r="D383" s="16" t="n"/>
      <c r="E383" s="16" t="n"/>
      <c r="F383" s="16" t="n"/>
      <c r="G383" s="17" t="n"/>
      <c r="H383" s="16" t="n"/>
    </row>
    <row r="384">
      <c r="A384" s="15" t="n"/>
      <c r="B384" s="16" t="n"/>
      <c r="C384" s="16" t="n"/>
      <c r="D384" s="16" t="n"/>
      <c r="E384" s="16" t="n"/>
      <c r="F384" s="16" t="n"/>
      <c r="G384" s="17" t="n"/>
      <c r="H384" s="16" t="n"/>
    </row>
    <row r="385">
      <c r="A385" s="15" t="n"/>
      <c r="B385" s="16" t="n"/>
      <c r="C385" s="16" t="n"/>
      <c r="D385" s="16" t="n"/>
      <c r="E385" s="16" t="n"/>
      <c r="F385" s="16" t="n"/>
      <c r="G385" s="17" t="n"/>
      <c r="H385" s="16" t="n"/>
    </row>
    <row r="386">
      <c r="A386" s="15" t="n"/>
      <c r="B386" s="16" t="n"/>
      <c r="C386" s="16" t="n"/>
      <c r="D386" s="16" t="n"/>
      <c r="E386" s="16" t="n"/>
      <c r="F386" s="16" t="n"/>
      <c r="G386" s="17" t="n"/>
      <c r="H386" s="16" t="n"/>
    </row>
    <row r="387">
      <c r="A387" s="15" t="n"/>
      <c r="B387" s="16" t="n"/>
      <c r="C387" s="16" t="n"/>
      <c r="D387" s="16" t="n"/>
      <c r="E387" s="16" t="n"/>
      <c r="F387" s="16" t="n"/>
      <c r="G387" s="17" t="n"/>
      <c r="H387" s="16" t="n"/>
    </row>
    <row r="388">
      <c r="A388" s="15" t="n"/>
      <c r="B388" s="16" t="n"/>
      <c r="C388" s="16" t="n"/>
      <c r="D388" s="16" t="n"/>
      <c r="E388" s="16" t="n"/>
      <c r="F388" s="16" t="n"/>
      <c r="G388" s="17" t="n"/>
      <c r="H388" s="16" t="n"/>
    </row>
    <row r="389">
      <c r="A389" s="15" t="n"/>
      <c r="B389" s="16" t="n"/>
      <c r="C389" s="16" t="n"/>
      <c r="D389" s="16" t="n"/>
      <c r="E389" s="16" t="n"/>
      <c r="F389" s="16" t="n"/>
      <c r="G389" s="17" t="n"/>
      <c r="H389" s="16" t="n"/>
    </row>
    <row r="390">
      <c r="A390" s="15" t="n"/>
      <c r="B390" s="16" t="n"/>
      <c r="C390" s="16" t="n"/>
      <c r="D390" s="16" t="n"/>
      <c r="E390" s="16" t="n"/>
      <c r="F390" s="16" t="n"/>
      <c r="G390" s="17" t="n"/>
      <c r="H390" s="16" t="n"/>
    </row>
    <row r="391">
      <c r="A391" s="15" t="n"/>
      <c r="B391" s="16" t="n"/>
      <c r="C391" s="16" t="n"/>
      <c r="D391" s="16" t="n"/>
      <c r="E391" s="16" t="n"/>
      <c r="F391" s="16" t="n"/>
      <c r="G391" s="17" t="n"/>
      <c r="H391" s="16" t="n"/>
    </row>
    <row r="392">
      <c r="A392" s="15" t="n"/>
      <c r="B392" s="16" t="n"/>
      <c r="C392" s="16" t="n"/>
      <c r="D392" s="16" t="n"/>
      <c r="E392" s="16" t="n"/>
      <c r="F392" s="16" t="n"/>
      <c r="G392" s="17" t="n"/>
      <c r="H392" s="16" t="n"/>
    </row>
    <row r="393">
      <c r="A393" s="15" t="n"/>
      <c r="B393" s="16" t="n"/>
      <c r="C393" s="16" t="n"/>
      <c r="D393" s="16" t="n"/>
      <c r="E393" s="16" t="n"/>
      <c r="F393" s="16" t="n"/>
      <c r="G393" s="17" t="n"/>
      <c r="H393" s="16" t="n"/>
    </row>
    <row r="394">
      <c r="A394" s="15" t="n"/>
      <c r="B394" s="16" t="n"/>
      <c r="C394" s="16" t="n"/>
      <c r="D394" s="16" t="n"/>
      <c r="E394" s="16" t="n"/>
      <c r="F394" s="16" t="n"/>
      <c r="G394" s="17" t="n"/>
      <c r="H394" s="16" t="n"/>
    </row>
    <row r="395">
      <c r="A395" s="15" t="n"/>
      <c r="B395" s="16" t="n"/>
      <c r="C395" s="16" t="n"/>
      <c r="D395" s="16" t="n"/>
      <c r="E395" s="16" t="n"/>
      <c r="F395" s="16" t="n"/>
      <c r="G395" s="17" t="n"/>
      <c r="H395" s="16" t="n"/>
    </row>
    <row r="396">
      <c r="A396" s="15" t="n"/>
      <c r="B396" s="16" t="n"/>
      <c r="C396" s="16" t="n"/>
      <c r="D396" s="16" t="n"/>
      <c r="E396" s="16" t="n"/>
      <c r="F396" s="16" t="n"/>
      <c r="G396" s="17" t="n"/>
      <c r="H396" s="16" t="n"/>
    </row>
    <row r="397">
      <c r="A397" s="15" t="n"/>
      <c r="B397" s="16" t="n"/>
      <c r="C397" s="16" t="n"/>
      <c r="D397" s="16" t="n"/>
      <c r="E397" s="16" t="n"/>
      <c r="F397" s="16" t="n"/>
      <c r="G397" s="17" t="n"/>
      <c r="H397" s="16" t="n"/>
    </row>
    <row r="398">
      <c r="A398" s="15" t="n"/>
      <c r="B398" s="16" t="n"/>
      <c r="C398" s="16" t="n"/>
      <c r="D398" s="16" t="n"/>
      <c r="E398" s="16" t="n"/>
      <c r="F398" s="16" t="n"/>
      <c r="G398" s="17" t="n"/>
      <c r="H398" s="16" t="n"/>
    </row>
    <row r="399">
      <c r="A399" s="15" t="n"/>
      <c r="B399" s="16" t="n"/>
      <c r="C399" s="16" t="n"/>
      <c r="D399" s="16" t="n"/>
      <c r="E399" s="16" t="n"/>
      <c r="F399" s="16" t="n"/>
      <c r="G399" s="17" t="n"/>
      <c r="H399" s="16" t="n"/>
    </row>
    <row r="400">
      <c r="A400" s="15" t="n"/>
      <c r="B400" s="16" t="n"/>
      <c r="C400" s="16" t="n"/>
      <c r="D400" s="16" t="n"/>
      <c r="E400" s="16" t="n"/>
      <c r="F400" s="16" t="n"/>
      <c r="G400" s="17" t="n"/>
      <c r="H400" s="16" t="n"/>
    </row>
    <row r="401">
      <c r="A401" s="15" t="n"/>
      <c r="B401" s="16" t="n"/>
      <c r="C401" s="16" t="n"/>
      <c r="D401" s="16" t="n"/>
      <c r="E401" s="16" t="n"/>
      <c r="F401" s="16" t="n"/>
      <c r="G401" s="17" t="n"/>
      <c r="H401" s="16" t="n"/>
    </row>
  </sheetData>
  <autoFilter ref="A1:H401"/>
  <dataValidations count="4">
    <dataValidation sqref="C2:C401" showDropDown="0" showInputMessage="0" showErrorMessage="1" allowBlank="1" errorTitle="Valor no válido" error="Elegí una opción de la lista." type="list">
      <formula1>=Listas!$B$2:$B$6</formula1>
    </dataValidation>
    <dataValidation sqref="D2:D401" showDropDown="0" showInputMessage="0" showErrorMessage="1" allowBlank="1" errorTitle="Valor no válido" error="Elegí una opción de la lista." type="list">
      <formula1>=Listas!$F$2:$F$5</formula1>
    </dataValidation>
    <dataValidation sqref="E2:E401" showDropDown="0" showInputMessage="0" showErrorMessage="1" allowBlank="1" errorTitle="Valor no válido" error="Elegí una opción de la lista." type="list">
      <formula1>=Listas!$D$2:$D$9</formula1>
    </dataValidation>
    <dataValidation sqref="F2:F401" showDropDown="0" showInputMessage="0" showErrorMessage="1" allowBlank="1" errorTitle="Valor no válido" error="Elegí una opción de la lista." type="list">
      <formula1>=Listas!$G$2:$G$7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5" customWidth="1" min="3" max="3"/>
    <col width="24" customWidth="1" min="4" max="4"/>
    <col width="12" customWidth="1" min="5" max="5"/>
    <col width="40" customWidth="1" min="6" max="6"/>
    <col width="12" customWidth="1" min="7" max="7"/>
    <col width="13" customWidth="1" min="8" max="8"/>
    <col width="12" customWidth="1" min="9" max="9"/>
    <col width="26" customWidth="1" min="10" max="10"/>
    <col width="13" customWidth="1" min="11" max="11"/>
    <col width="30" customWidth="1" min="12" max="12"/>
  </cols>
  <sheetData>
    <row r="1" ht="30" customHeight="1">
      <c r="A1" s="9" t="inlineStr">
        <is>
          <t>Administración</t>
        </is>
      </c>
      <c r="B1" s="9" t="inlineStr">
        <is>
          <t>Contacto</t>
        </is>
      </c>
      <c r="C1" s="9" t="inlineStr">
        <is>
          <t>Teléfono</t>
        </is>
      </c>
      <c r="D1" s="9" t="inlineStr">
        <is>
          <t>Email</t>
        </is>
      </c>
      <c r="E1" s="9" t="inlineStr">
        <is>
          <t>Edificios en tus zonas</t>
        </is>
      </c>
      <c r="F1" s="9" t="inlineStr">
        <is>
          <t>Direcciones de los edificios</t>
        </is>
      </c>
      <c r="G1" s="9" t="inlineStr">
        <is>
          <t>Zona</t>
        </is>
      </c>
      <c r="H1" s="9" t="inlineStr">
        <is>
          <t>Carpeta entregada</t>
        </is>
      </c>
      <c r="I1" s="9" t="inlineStr">
        <is>
          <t>Estado</t>
        </is>
      </c>
      <c r="J1" s="9" t="inlineStr">
        <is>
          <t>Próximo paso</t>
        </is>
      </c>
      <c r="K1" s="9" t="inlineStr">
        <is>
          <t>Próximo contacto</t>
        </is>
      </c>
      <c r="L1" s="9" t="inlineStr">
        <is>
          <t>Notas</t>
        </is>
      </c>
    </row>
    <row r="2">
      <c r="A2" s="11" t="inlineStr">
        <is>
          <t>Administración de ejemplo (borrar)</t>
        </is>
      </c>
      <c r="B2" s="11" t="inlineStr">
        <is>
          <t>Laura (administradora)</t>
        </is>
      </c>
      <c r="C2" s="11" t="inlineStr">
        <is>
          <t>11 4444-0000</t>
        </is>
      </c>
      <c r="D2" s="19" t="n"/>
      <c r="E2" s="11" t="n">
        <v>12</v>
      </c>
      <c r="F2" s="11" t="inlineStr">
        <is>
          <t>Rivadavia 4500; Acoyte 300; Rosario 800</t>
        </is>
      </c>
      <c r="G2" s="11" t="inlineStr">
        <is>
          <t>CABA</t>
        </is>
      </c>
      <c r="H2" s="13" t="n"/>
      <c r="I2" s="11" t="inlineStr">
        <is>
          <t>Contactado</t>
        </is>
      </c>
      <c r="J2" s="11" t="inlineStr">
        <is>
          <t>Llevar carpeta con propuesta por edificio</t>
        </is>
      </c>
      <c r="K2" s="10" t="n">
        <v>46310</v>
      </c>
      <c r="L2" s="11" t="inlineStr">
        <is>
          <t>Datos sacados de la placa del edificio de Rivadavia 4500.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5" t="n"/>
      <c r="I3" s="16" t="n"/>
      <c r="J3" s="16" t="n"/>
      <c r="K3" s="15" t="n"/>
      <c r="L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15" t="n"/>
      <c r="I4" s="16" t="n"/>
      <c r="J4" s="16" t="n"/>
      <c r="K4" s="15" t="n"/>
      <c r="L4" s="16" t="n"/>
    </row>
    <row r="5">
      <c r="A5" s="16" t="n"/>
      <c r="B5" s="16" t="n"/>
      <c r="C5" s="16" t="n"/>
      <c r="D5" s="16" t="n"/>
      <c r="E5" s="16" t="n"/>
      <c r="F5" s="16" t="n"/>
      <c r="G5" s="16" t="n"/>
      <c r="H5" s="15" t="n"/>
      <c r="I5" s="16" t="n"/>
      <c r="J5" s="16" t="n"/>
      <c r="K5" s="15" t="n"/>
      <c r="L5" s="16" t="n"/>
    </row>
    <row r="6">
      <c r="A6" s="16" t="n"/>
      <c r="B6" s="16" t="n"/>
      <c r="C6" s="16" t="n"/>
      <c r="D6" s="16" t="n"/>
      <c r="E6" s="16" t="n"/>
      <c r="F6" s="16" t="n"/>
      <c r="G6" s="16" t="n"/>
      <c r="H6" s="15" t="n"/>
      <c r="I6" s="16" t="n"/>
      <c r="J6" s="16" t="n"/>
      <c r="K6" s="15" t="n"/>
      <c r="L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5" t="n"/>
      <c r="I7" s="16" t="n"/>
      <c r="J7" s="16" t="n"/>
      <c r="K7" s="15" t="n"/>
      <c r="L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5" t="n"/>
      <c r="I8" s="16" t="n"/>
      <c r="J8" s="16" t="n"/>
      <c r="K8" s="15" t="n"/>
      <c r="L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5" t="n"/>
      <c r="I9" s="16" t="n"/>
      <c r="J9" s="16" t="n"/>
      <c r="K9" s="15" t="n"/>
      <c r="L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5" t="n"/>
      <c r="I10" s="16" t="n"/>
      <c r="J10" s="16" t="n"/>
      <c r="K10" s="15" t="n"/>
      <c r="L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5" t="n"/>
      <c r="I11" s="16" t="n"/>
      <c r="J11" s="16" t="n"/>
      <c r="K11" s="15" t="n"/>
      <c r="L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5" t="n"/>
      <c r="I12" s="16" t="n"/>
      <c r="J12" s="16" t="n"/>
      <c r="K12" s="15" t="n"/>
      <c r="L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5" t="n"/>
      <c r="I13" s="16" t="n"/>
      <c r="J13" s="16" t="n"/>
      <c r="K13" s="15" t="n"/>
      <c r="L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5" t="n"/>
      <c r="I14" s="16" t="n"/>
      <c r="J14" s="16" t="n"/>
      <c r="K14" s="15" t="n"/>
      <c r="L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5" t="n"/>
      <c r="I15" s="16" t="n"/>
      <c r="J15" s="16" t="n"/>
      <c r="K15" s="15" t="n"/>
      <c r="L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5" t="n"/>
      <c r="I16" s="16" t="n"/>
      <c r="J16" s="16" t="n"/>
      <c r="K16" s="15" t="n"/>
      <c r="L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5" t="n"/>
      <c r="I17" s="16" t="n"/>
      <c r="J17" s="16" t="n"/>
      <c r="K17" s="15" t="n"/>
      <c r="L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5" t="n"/>
      <c r="I18" s="16" t="n"/>
      <c r="J18" s="16" t="n"/>
      <c r="K18" s="15" t="n"/>
      <c r="L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5" t="n"/>
      <c r="I19" s="16" t="n"/>
      <c r="J19" s="16" t="n"/>
      <c r="K19" s="15" t="n"/>
      <c r="L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5" t="n"/>
      <c r="I20" s="16" t="n"/>
      <c r="J20" s="16" t="n"/>
      <c r="K20" s="15" t="n"/>
      <c r="L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5" t="n"/>
      <c r="I21" s="16" t="n"/>
      <c r="J21" s="16" t="n"/>
      <c r="K21" s="15" t="n"/>
      <c r="L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5" t="n"/>
      <c r="I22" s="16" t="n"/>
      <c r="J22" s="16" t="n"/>
      <c r="K22" s="15" t="n"/>
      <c r="L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5" t="n"/>
      <c r="I23" s="16" t="n"/>
      <c r="J23" s="16" t="n"/>
      <c r="K23" s="15" t="n"/>
      <c r="L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5" t="n"/>
      <c r="I24" s="16" t="n"/>
      <c r="J24" s="16" t="n"/>
      <c r="K24" s="15" t="n"/>
      <c r="L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5" t="n"/>
      <c r="I25" s="16" t="n"/>
      <c r="J25" s="16" t="n"/>
      <c r="K25" s="15" t="n"/>
      <c r="L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5" t="n"/>
      <c r="I26" s="16" t="n"/>
      <c r="J26" s="16" t="n"/>
      <c r="K26" s="15" t="n"/>
      <c r="L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5" t="n"/>
      <c r="I27" s="16" t="n"/>
      <c r="J27" s="16" t="n"/>
      <c r="K27" s="15" t="n"/>
      <c r="L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5" t="n"/>
      <c r="I28" s="16" t="n"/>
      <c r="J28" s="16" t="n"/>
      <c r="K28" s="15" t="n"/>
      <c r="L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5" t="n"/>
      <c r="I29" s="16" t="n"/>
      <c r="J29" s="16" t="n"/>
      <c r="K29" s="15" t="n"/>
      <c r="L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5" t="n"/>
      <c r="I30" s="16" t="n"/>
      <c r="J30" s="16" t="n"/>
      <c r="K30" s="15" t="n"/>
      <c r="L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5" t="n"/>
      <c r="I31" s="16" t="n"/>
      <c r="J31" s="16" t="n"/>
      <c r="K31" s="15" t="n"/>
      <c r="L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5" t="n"/>
      <c r="I32" s="16" t="n"/>
      <c r="J32" s="16" t="n"/>
      <c r="K32" s="15" t="n"/>
      <c r="L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5" t="n"/>
      <c r="I33" s="16" t="n"/>
      <c r="J33" s="16" t="n"/>
      <c r="K33" s="15" t="n"/>
      <c r="L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5" t="n"/>
      <c r="I34" s="16" t="n"/>
      <c r="J34" s="16" t="n"/>
      <c r="K34" s="15" t="n"/>
      <c r="L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5" t="n"/>
      <c r="I35" s="16" t="n"/>
      <c r="J35" s="16" t="n"/>
      <c r="K35" s="15" t="n"/>
      <c r="L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5" t="n"/>
      <c r="I36" s="16" t="n"/>
      <c r="J36" s="16" t="n"/>
      <c r="K36" s="15" t="n"/>
      <c r="L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5" t="n"/>
      <c r="I37" s="16" t="n"/>
      <c r="J37" s="16" t="n"/>
      <c r="K37" s="15" t="n"/>
      <c r="L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5" t="n"/>
      <c r="I38" s="16" t="n"/>
      <c r="J38" s="16" t="n"/>
      <c r="K38" s="15" t="n"/>
      <c r="L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5" t="n"/>
      <c r="I39" s="16" t="n"/>
      <c r="J39" s="16" t="n"/>
      <c r="K39" s="15" t="n"/>
      <c r="L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5" t="n"/>
      <c r="I40" s="16" t="n"/>
      <c r="J40" s="16" t="n"/>
      <c r="K40" s="15" t="n"/>
      <c r="L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5" t="n"/>
      <c r="I41" s="16" t="n"/>
      <c r="J41" s="16" t="n"/>
      <c r="K41" s="15" t="n"/>
      <c r="L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5" t="n"/>
      <c r="I42" s="16" t="n"/>
      <c r="J42" s="16" t="n"/>
      <c r="K42" s="15" t="n"/>
      <c r="L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5" t="n"/>
      <c r="I43" s="16" t="n"/>
      <c r="J43" s="16" t="n"/>
      <c r="K43" s="15" t="n"/>
      <c r="L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5" t="n"/>
      <c r="I44" s="16" t="n"/>
      <c r="J44" s="16" t="n"/>
      <c r="K44" s="15" t="n"/>
      <c r="L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5" t="n"/>
      <c r="I45" s="16" t="n"/>
      <c r="J45" s="16" t="n"/>
      <c r="K45" s="15" t="n"/>
      <c r="L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5" t="n"/>
      <c r="I46" s="16" t="n"/>
      <c r="J46" s="16" t="n"/>
      <c r="K46" s="15" t="n"/>
      <c r="L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5" t="n"/>
      <c r="I47" s="16" t="n"/>
      <c r="J47" s="16" t="n"/>
      <c r="K47" s="15" t="n"/>
      <c r="L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5" t="n"/>
      <c r="I48" s="16" t="n"/>
      <c r="J48" s="16" t="n"/>
      <c r="K48" s="15" t="n"/>
      <c r="L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5" t="n"/>
      <c r="I49" s="16" t="n"/>
      <c r="J49" s="16" t="n"/>
      <c r="K49" s="15" t="n"/>
      <c r="L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5" t="n"/>
      <c r="I50" s="16" t="n"/>
      <c r="J50" s="16" t="n"/>
      <c r="K50" s="15" t="n"/>
      <c r="L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5" t="n"/>
      <c r="I51" s="16" t="n"/>
      <c r="J51" s="16" t="n"/>
      <c r="K51" s="15" t="n"/>
      <c r="L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5" t="n"/>
      <c r="I52" s="16" t="n"/>
      <c r="J52" s="16" t="n"/>
      <c r="K52" s="15" t="n"/>
      <c r="L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5" t="n"/>
      <c r="I53" s="16" t="n"/>
      <c r="J53" s="16" t="n"/>
      <c r="K53" s="15" t="n"/>
      <c r="L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5" t="n"/>
      <c r="I54" s="16" t="n"/>
      <c r="J54" s="16" t="n"/>
      <c r="K54" s="15" t="n"/>
      <c r="L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5" t="n"/>
      <c r="I55" s="16" t="n"/>
      <c r="J55" s="16" t="n"/>
      <c r="K55" s="15" t="n"/>
      <c r="L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5" t="n"/>
      <c r="I56" s="16" t="n"/>
      <c r="J56" s="16" t="n"/>
      <c r="K56" s="15" t="n"/>
      <c r="L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5" t="n"/>
      <c r="I57" s="16" t="n"/>
      <c r="J57" s="16" t="n"/>
      <c r="K57" s="15" t="n"/>
      <c r="L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5" t="n"/>
      <c r="I58" s="16" t="n"/>
      <c r="J58" s="16" t="n"/>
      <c r="K58" s="15" t="n"/>
      <c r="L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5" t="n"/>
      <c r="I59" s="16" t="n"/>
      <c r="J59" s="16" t="n"/>
      <c r="K59" s="15" t="n"/>
      <c r="L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5" t="n"/>
      <c r="I60" s="16" t="n"/>
      <c r="J60" s="16" t="n"/>
      <c r="K60" s="15" t="n"/>
      <c r="L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5" t="n"/>
      <c r="I61" s="16" t="n"/>
      <c r="J61" s="16" t="n"/>
      <c r="K61" s="15" t="n"/>
      <c r="L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5" t="n"/>
      <c r="I62" s="16" t="n"/>
      <c r="J62" s="16" t="n"/>
      <c r="K62" s="15" t="n"/>
      <c r="L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5" t="n"/>
      <c r="I63" s="16" t="n"/>
      <c r="J63" s="16" t="n"/>
      <c r="K63" s="15" t="n"/>
      <c r="L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5" t="n"/>
      <c r="I64" s="16" t="n"/>
      <c r="J64" s="16" t="n"/>
      <c r="K64" s="15" t="n"/>
      <c r="L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5" t="n"/>
      <c r="I65" s="16" t="n"/>
      <c r="J65" s="16" t="n"/>
      <c r="K65" s="15" t="n"/>
      <c r="L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5" t="n"/>
      <c r="I66" s="16" t="n"/>
      <c r="J66" s="16" t="n"/>
      <c r="K66" s="15" t="n"/>
      <c r="L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5" t="n"/>
      <c r="I67" s="16" t="n"/>
      <c r="J67" s="16" t="n"/>
      <c r="K67" s="15" t="n"/>
      <c r="L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5" t="n"/>
      <c r="I68" s="16" t="n"/>
      <c r="J68" s="16" t="n"/>
      <c r="K68" s="15" t="n"/>
      <c r="L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5" t="n"/>
      <c r="I69" s="16" t="n"/>
      <c r="J69" s="16" t="n"/>
      <c r="K69" s="15" t="n"/>
      <c r="L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5" t="n"/>
      <c r="I70" s="16" t="n"/>
      <c r="J70" s="16" t="n"/>
      <c r="K70" s="15" t="n"/>
      <c r="L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5" t="n"/>
      <c r="I71" s="16" t="n"/>
      <c r="J71" s="16" t="n"/>
      <c r="K71" s="15" t="n"/>
      <c r="L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5" t="n"/>
      <c r="I72" s="16" t="n"/>
      <c r="J72" s="16" t="n"/>
      <c r="K72" s="15" t="n"/>
      <c r="L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5" t="n"/>
      <c r="I73" s="16" t="n"/>
      <c r="J73" s="16" t="n"/>
      <c r="K73" s="15" t="n"/>
      <c r="L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5" t="n"/>
      <c r="I74" s="16" t="n"/>
      <c r="J74" s="16" t="n"/>
      <c r="K74" s="15" t="n"/>
      <c r="L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5" t="n"/>
      <c r="I75" s="16" t="n"/>
      <c r="J75" s="16" t="n"/>
      <c r="K75" s="15" t="n"/>
      <c r="L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5" t="n"/>
      <c r="I76" s="16" t="n"/>
      <c r="J76" s="16" t="n"/>
      <c r="K76" s="15" t="n"/>
      <c r="L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5" t="n"/>
      <c r="I77" s="16" t="n"/>
      <c r="J77" s="16" t="n"/>
      <c r="K77" s="15" t="n"/>
      <c r="L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5" t="n"/>
      <c r="I78" s="16" t="n"/>
      <c r="J78" s="16" t="n"/>
      <c r="K78" s="15" t="n"/>
      <c r="L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5" t="n"/>
      <c r="I79" s="16" t="n"/>
      <c r="J79" s="16" t="n"/>
      <c r="K79" s="15" t="n"/>
      <c r="L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5" t="n"/>
      <c r="I80" s="16" t="n"/>
      <c r="J80" s="16" t="n"/>
      <c r="K80" s="15" t="n"/>
      <c r="L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5" t="n"/>
      <c r="I81" s="16" t="n"/>
      <c r="J81" s="16" t="n"/>
      <c r="K81" s="15" t="n"/>
      <c r="L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5" t="n"/>
      <c r="I82" s="16" t="n"/>
      <c r="J82" s="16" t="n"/>
      <c r="K82" s="15" t="n"/>
      <c r="L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5" t="n"/>
      <c r="I83" s="16" t="n"/>
      <c r="J83" s="16" t="n"/>
      <c r="K83" s="15" t="n"/>
      <c r="L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5" t="n"/>
      <c r="I84" s="16" t="n"/>
      <c r="J84" s="16" t="n"/>
      <c r="K84" s="15" t="n"/>
      <c r="L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5" t="n"/>
      <c r="I85" s="16" t="n"/>
      <c r="J85" s="16" t="n"/>
      <c r="K85" s="15" t="n"/>
      <c r="L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5" t="n"/>
      <c r="I86" s="16" t="n"/>
      <c r="J86" s="16" t="n"/>
      <c r="K86" s="15" t="n"/>
      <c r="L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5" t="n"/>
      <c r="I87" s="16" t="n"/>
      <c r="J87" s="16" t="n"/>
      <c r="K87" s="15" t="n"/>
      <c r="L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5" t="n"/>
      <c r="I88" s="16" t="n"/>
      <c r="J88" s="16" t="n"/>
      <c r="K88" s="15" t="n"/>
      <c r="L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5" t="n"/>
      <c r="I89" s="16" t="n"/>
      <c r="J89" s="16" t="n"/>
      <c r="K89" s="15" t="n"/>
      <c r="L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5" t="n"/>
      <c r="I90" s="16" t="n"/>
      <c r="J90" s="16" t="n"/>
      <c r="K90" s="15" t="n"/>
      <c r="L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5" t="n"/>
      <c r="I91" s="16" t="n"/>
      <c r="J91" s="16" t="n"/>
      <c r="K91" s="15" t="n"/>
      <c r="L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5" t="n"/>
      <c r="I92" s="16" t="n"/>
      <c r="J92" s="16" t="n"/>
      <c r="K92" s="15" t="n"/>
      <c r="L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5" t="n"/>
      <c r="I93" s="16" t="n"/>
      <c r="J93" s="16" t="n"/>
      <c r="K93" s="15" t="n"/>
      <c r="L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5" t="n"/>
      <c r="I94" s="16" t="n"/>
      <c r="J94" s="16" t="n"/>
      <c r="K94" s="15" t="n"/>
      <c r="L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5" t="n"/>
      <c r="I95" s="16" t="n"/>
      <c r="J95" s="16" t="n"/>
      <c r="K95" s="15" t="n"/>
      <c r="L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5" t="n"/>
      <c r="I96" s="16" t="n"/>
      <c r="J96" s="16" t="n"/>
      <c r="K96" s="15" t="n"/>
      <c r="L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5" t="n"/>
      <c r="I97" s="16" t="n"/>
      <c r="J97" s="16" t="n"/>
      <c r="K97" s="15" t="n"/>
      <c r="L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5" t="n"/>
      <c r="I98" s="16" t="n"/>
      <c r="J98" s="16" t="n"/>
      <c r="K98" s="15" t="n"/>
      <c r="L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5" t="n"/>
      <c r="I99" s="16" t="n"/>
      <c r="J99" s="16" t="n"/>
      <c r="K99" s="15" t="n"/>
      <c r="L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5" t="n"/>
      <c r="I100" s="16" t="n"/>
      <c r="J100" s="16" t="n"/>
      <c r="K100" s="15" t="n"/>
      <c r="L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5" t="n"/>
      <c r="I101" s="16" t="n"/>
      <c r="J101" s="16" t="n"/>
      <c r="K101" s="15" t="n"/>
      <c r="L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5" t="n"/>
      <c r="I102" s="16" t="n"/>
      <c r="J102" s="16" t="n"/>
      <c r="K102" s="15" t="n"/>
      <c r="L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5" t="n"/>
      <c r="I103" s="16" t="n"/>
      <c r="J103" s="16" t="n"/>
      <c r="K103" s="15" t="n"/>
      <c r="L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5" t="n"/>
      <c r="I104" s="16" t="n"/>
      <c r="J104" s="16" t="n"/>
      <c r="K104" s="15" t="n"/>
      <c r="L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5" t="n"/>
      <c r="I105" s="16" t="n"/>
      <c r="J105" s="16" t="n"/>
      <c r="K105" s="15" t="n"/>
      <c r="L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5" t="n"/>
      <c r="I106" s="16" t="n"/>
      <c r="J106" s="16" t="n"/>
      <c r="K106" s="15" t="n"/>
      <c r="L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5" t="n"/>
      <c r="I107" s="16" t="n"/>
      <c r="J107" s="16" t="n"/>
      <c r="K107" s="15" t="n"/>
      <c r="L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5" t="n"/>
      <c r="I108" s="16" t="n"/>
      <c r="J108" s="16" t="n"/>
      <c r="K108" s="15" t="n"/>
      <c r="L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5" t="n"/>
      <c r="I109" s="16" t="n"/>
      <c r="J109" s="16" t="n"/>
      <c r="K109" s="15" t="n"/>
      <c r="L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5" t="n"/>
      <c r="I110" s="16" t="n"/>
      <c r="J110" s="16" t="n"/>
      <c r="K110" s="15" t="n"/>
      <c r="L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5" t="n"/>
      <c r="I111" s="16" t="n"/>
      <c r="J111" s="16" t="n"/>
      <c r="K111" s="15" t="n"/>
      <c r="L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5" t="n"/>
      <c r="I112" s="16" t="n"/>
      <c r="J112" s="16" t="n"/>
      <c r="K112" s="15" t="n"/>
      <c r="L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5" t="n"/>
      <c r="I113" s="16" t="n"/>
      <c r="J113" s="16" t="n"/>
      <c r="K113" s="15" t="n"/>
      <c r="L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5" t="n"/>
      <c r="I114" s="16" t="n"/>
      <c r="J114" s="16" t="n"/>
      <c r="K114" s="15" t="n"/>
      <c r="L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5" t="n"/>
      <c r="I115" s="16" t="n"/>
      <c r="J115" s="16" t="n"/>
      <c r="K115" s="15" t="n"/>
      <c r="L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5" t="n"/>
      <c r="I116" s="16" t="n"/>
      <c r="J116" s="16" t="n"/>
      <c r="K116" s="15" t="n"/>
      <c r="L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5" t="n"/>
      <c r="I117" s="16" t="n"/>
      <c r="J117" s="16" t="n"/>
      <c r="K117" s="15" t="n"/>
      <c r="L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5" t="n"/>
      <c r="I118" s="16" t="n"/>
      <c r="J118" s="16" t="n"/>
      <c r="K118" s="15" t="n"/>
      <c r="L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5" t="n"/>
      <c r="I119" s="16" t="n"/>
      <c r="J119" s="16" t="n"/>
      <c r="K119" s="15" t="n"/>
      <c r="L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5" t="n"/>
      <c r="I120" s="16" t="n"/>
      <c r="J120" s="16" t="n"/>
      <c r="K120" s="15" t="n"/>
      <c r="L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5" t="n"/>
      <c r="I121" s="16" t="n"/>
      <c r="J121" s="16" t="n"/>
      <c r="K121" s="15" t="n"/>
      <c r="L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5" t="n"/>
      <c r="I122" s="16" t="n"/>
      <c r="J122" s="16" t="n"/>
      <c r="K122" s="15" t="n"/>
      <c r="L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5" t="n"/>
      <c r="I123" s="16" t="n"/>
      <c r="J123" s="16" t="n"/>
      <c r="K123" s="15" t="n"/>
      <c r="L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5" t="n"/>
      <c r="I124" s="16" t="n"/>
      <c r="J124" s="16" t="n"/>
      <c r="K124" s="15" t="n"/>
      <c r="L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5" t="n"/>
      <c r="I125" s="16" t="n"/>
      <c r="J125" s="16" t="n"/>
      <c r="K125" s="15" t="n"/>
      <c r="L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5" t="n"/>
      <c r="I126" s="16" t="n"/>
      <c r="J126" s="16" t="n"/>
      <c r="K126" s="15" t="n"/>
      <c r="L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5" t="n"/>
      <c r="I127" s="16" t="n"/>
      <c r="J127" s="16" t="n"/>
      <c r="K127" s="15" t="n"/>
      <c r="L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5" t="n"/>
      <c r="I128" s="16" t="n"/>
      <c r="J128" s="16" t="n"/>
      <c r="K128" s="15" t="n"/>
      <c r="L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5" t="n"/>
      <c r="I129" s="16" t="n"/>
      <c r="J129" s="16" t="n"/>
      <c r="K129" s="15" t="n"/>
      <c r="L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5" t="n"/>
      <c r="I130" s="16" t="n"/>
      <c r="J130" s="16" t="n"/>
      <c r="K130" s="15" t="n"/>
      <c r="L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5" t="n"/>
      <c r="I131" s="16" t="n"/>
      <c r="J131" s="16" t="n"/>
      <c r="K131" s="15" t="n"/>
      <c r="L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5" t="n"/>
      <c r="I132" s="16" t="n"/>
      <c r="J132" s="16" t="n"/>
      <c r="K132" s="15" t="n"/>
      <c r="L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5" t="n"/>
      <c r="I133" s="16" t="n"/>
      <c r="J133" s="16" t="n"/>
      <c r="K133" s="15" t="n"/>
      <c r="L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5" t="n"/>
      <c r="I134" s="16" t="n"/>
      <c r="J134" s="16" t="n"/>
      <c r="K134" s="15" t="n"/>
      <c r="L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5" t="n"/>
      <c r="I135" s="16" t="n"/>
      <c r="J135" s="16" t="n"/>
      <c r="K135" s="15" t="n"/>
      <c r="L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5" t="n"/>
      <c r="I136" s="16" t="n"/>
      <c r="J136" s="16" t="n"/>
      <c r="K136" s="15" t="n"/>
      <c r="L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5" t="n"/>
      <c r="I137" s="16" t="n"/>
      <c r="J137" s="16" t="n"/>
      <c r="K137" s="15" t="n"/>
      <c r="L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5" t="n"/>
      <c r="I138" s="16" t="n"/>
      <c r="J138" s="16" t="n"/>
      <c r="K138" s="15" t="n"/>
      <c r="L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5" t="n"/>
      <c r="I139" s="16" t="n"/>
      <c r="J139" s="16" t="n"/>
      <c r="K139" s="15" t="n"/>
      <c r="L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5" t="n"/>
      <c r="I140" s="16" t="n"/>
      <c r="J140" s="16" t="n"/>
      <c r="K140" s="15" t="n"/>
      <c r="L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5" t="n"/>
      <c r="I141" s="16" t="n"/>
      <c r="J141" s="16" t="n"/>
      <c r="K141" s="15" t="n"/>
      <c r="L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5" t="n"/>
      <c r="I142" s="16" t="n"/>
      <c r="J142" s="16" t="n"/>
      <c r="K142" s="15" t="n"/>
      <c r="L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5" t="n"/>
      <c r="I143" s="16" t="n"/>
      <c r="J143" s="16" t="n"/>
      <c r="K143" s="15" t="n"/>
      <c r="L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5" t="n"/>
      <c r="I144" s="16" t="n"/>
      <c r="J144" s="16" t="n"/>
      <c r="K144" s="15" t="n"/>
      <c r="L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5" t="n"/>
      <c r="I145" s="16" t="n"/>
      <c r="J145" s="16" t="n"/>
      <c r="K145" s="15" t="n"/>
      <c r="L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5" t="n"/>
      <c r="I146" s="16" t="n"/>
      <c r="J146" s="16" t="n"/>
      <c r="K146" s="15" t="n"/>
      <c r="L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5" t="n"/>
      <c r="I147" s="16" t="n"/>
      <c r="J147" s="16" t="n"/>
      <c r="K147" s="15" t="n"/>
      <c r="L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5" t="n"/>
      <c r="I148" s="16" t="n"/>
      <c r="J148" s="16" t="n"/>
      <c r="K148" s="15" t="n"/>
      <c r="L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5" t="n"/>
      <c r="I149" s="16" t="n"/>
      <c r="J149" s="16" t="n"/>
      <c r="K149" s="15" t="n"/>
      <c r="L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5" t="n"/>
      <c r="I150" s="16" t="n"/>
      <c r="J150" s="16" t="n"/>
      <c r="K150" s="15" t="n"/>
      <c r="L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5" t="n"/>
      <c r="I151" s="16" t="n"/>
      <c r="J151" s="16" t="n"/>
      <c r="K151" s="15" t="n"/>
      <c r="L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5" t="n"/>
      <c r="I152" s="16" t="n"/>
      <c r="J152" s="16" t="n"/>
      <c r="K152" s="15" t="n"/>
      <c r="L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5" t="n"/>
      <c r="I153" s="16" t="n"/>
      <c r="J153" s="16" t="n"/>
      <c r="K153" s="15" t="n"/>
      <c r="L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5" t="n"/>
      <c r="I154" s="16" t="n"/>
      <c r="J154" s="16" t="n"/>
      <c r="K154" s="15" t="n"/>
      <c r="L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5" t="n"/>
      <c r="I155" s="16" t="n"/>
      <c r="J155" s="16" t="n"/>
      <c r="K155" s="15" t="n"/>
      <c r="L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5" t="n"/>
      <c r="I156" s="16" t="n"/>
      <c r="J156" s="16" t="n"/>
      <c r="K156" s="15" t="n"/>
      <c r="L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5" t="n"/>
      <c r="I157" s="16" t="n"/>
      <c r="J157" s="16" t="n"/>
      <c r="K157" s="15" t="n"/>
      <c r="L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5" t="n"/>
      <c r="I158" s="16" t="n"/>
      <c r="J158" s="16" t="n"/>
      <c r="K158" s="15" t="n"/>
      <c r="L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5" t="n"/>
      <c r="I159" s="16" t="n"/>
      <c r="J159" s="16" t="n"/>
      <c r="K159" s="15" t="n"/>
      <c r="L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5" t="n"/>
      <c r="I160" s="16" t="n"/>
      <c r="J160" s="16" t="n"/>
      <c r="K160" s="15" t="n"/>
      <c r="L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5" t="n"/>
      <c r="I161" s="16" t="n"/>
      <c r="J161" s="16" t="n"/>
      <c r="K161" s="15" t="n"/>
      <c r="L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5" t="n"/>
      <c r="I162" s="16" t="n"/>
      <c r="J162" s="16" t="n"/>
      <c r="K162" s="15" t="n"/>
      <c r="L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5" t="n"/>
      <c r="I163" s="16" t="n"/>
      <c r="J163" s="16" t="n"/>
      <c r="K163" s="15" t="n"/>
      <c r="L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5" t="n"/>
      <c r="I164" s="16" t="n"/>
      <c r="J164" s="16" t="n"/>
      <c r="K164" s="15" t="n"/>
      <c r="L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5" t="n"/>
      <c r="I165" s="16" t="n"/>
      <c r="J165" s="16" t="n"/>
      <c r="K165" s="15" t="n"/>
      <c r="L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5" t="n"/>
      <c r="I166" s="16" t="n"/>
      <c r="J166" s="16" t="n"/>
      <c r="K166" s="15" t="n"/>
      <c r="L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5" t="n"/>
      <c r="I167" s="16" t="n"/>
      <c r="J167" s="16" t="n"/>
      <c r="K167" s="15" t="n"/>
      <c r="L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5" t="n"/>
      <c r="I168" s="16" t="n"/>
      <c r="J168" s="16" t="n"/>
      <c r="K168" s="15" t="n"/>
      <c r="L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5" t="n"/>
      <c r="I169" s="16" t="n"/>
      <c r="J169" s="16" t="n"/>
      <c r="K169" s="15" t="n"/>
      <c r="L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5" t="n"/>
      <c r="I170" s="16" t="n"/>
      <c r="J170" s="16" t="n"/>
      <c r="K170" s="15" t="n"/>
      <c r="L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5" t="n"/>
      <c r="I171" s="16" t="n"/>
      <c r="J171" s="16" t="n"/>
      <c r="K171" s="15" t="n"/>
      <c r="L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5" t="n"/>
      <c r="I172" s="16" t="n"/>
      <c r="J172" s="16" t="n"/>
      <c r="K172" s="15" t="n"/>
      <c r="L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5" t="n"/>
      <c r="I173" s="16" t="n"/>
      <c r="J173" s="16" t="n"/>
      <c r="K173" s="15" t="n"/>
      <c r="L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5" t="n"/>
      <c r="I174" s="16" t="n"/>
      <c r="J174" s="16" t="n"/>
      <c r="K174" s="15" t="n"/>
      <c r="L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5" t="n"/>
      <c r="I175" s="16" t="n"/>
      <c r="J175" s="16" t="n"/>
      <c r="K175" s="15" t="n"/>
      <c r="L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5" t="n"/>
      <c r="I176" s="16" t="n"/>
      <c r="J176" s="16" t="n"/>
      <c r="K176" s="15" t="n"/>
      <c r="L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5" t="n"/>
      <c r="I177" s="16" t="n"/>
      <c r="J177" s="16" t="n"/>
      <c r="K177" s="15" t="n"/>
      <c r="L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5" t="n"/>
      <c r="I178" s="16" t="n"/>
      <c r="J178" s="16" t="n"/>
      <c r="K178" s="15" t="n"/>
      <c r="L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5" t="n"/>
      <c r="I179" s="16" t="n"/>
      <c r="J179" s="16" t="n"/>
      <c r="K179" s="15" t="n"/>
      <c r="L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5" t="n"/>
      <c r="I180" s="16" t="n"/>
      <c r="J180" s="16" t="n"/>
      <c r="K180" s="15" t="n"/>
      <c r="L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5" t="n"/>
      <c r="I181" s="16" t="n"/>
      <c r="J181" s="16" t="n"/>
      <c r="K181" s="15" t="n"/>
      <c r="L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5" t="n"/>
      <c r="I182" s="16" t="n"/>
      <c r="J182" s="16" t="n"/>
      <c r="K182" s="15" t="n"/>
      <c r="L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5" t="n"/>
      <c r="I183" s="16" t="n"/>
      <c r="J183" s="16" t="n"/>
      <c r="K183" s="15" t="n"/>
      <c r="L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5" t="n"/>
      <c r="I184" s="16" t="n"/>
      <c r="J184" s="16" t="n"/>
      <c r="K184" s="15" t="n"/>
      <c r="L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5" t="n"/>
      <c r="I185" s="16" t="n"/>
      <c r="J185" s="16" t="n"/>
      <c r="K185" s="15" t="n"/>
      <c r="L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5" t="n"/>
      <c r="I186" s="16" t="n"/>
      <c r="J186" s="16" t="n"/>
      <c r="K186" s="15" t="n"/>
      <c r="L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5" t="n"/>
      <c r="I187" s="16" t="n"/>
      <c r="J187" s="16" t="n"/>
      <c r="K187" s="15" t="n"/>
      <c r="L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5" t="n"/>
      <c r="I188" s="16" t="n"/>
      <c r="J188" s="16" t="n"/>
      <c r="K188" s="15" t="n"/>
      <c r="L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5" t="n"/>
      <c r="I189" s="16" t="n"/>
      <c r="J189" s="16" t="n"/>
      <c r="K189" s="15" t="n"/>
      <c r="L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5" t="n"/>
      <c r="I190" s="16" t="n"/>
      <c r="J190" s="16" t="n"/>
      <c r="K190" s="15" t="n"/>
      <c r="L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5" t="n"/>
      <c r="I191" s="16" t="n"/>
      <c r="J191" s="16" t="n"/>
      <c r="K191" s="15" t="n"/>
      <c r="L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5" t="n"/>
      <c r="I192" s="16" t="n"/>
      <c r="J192" s="16" t="n"/>
      <c r="K192" s="15" t="n"/>
      <c r="L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5" t="n"/>
      <c r="I193" s="16" t="n"/>
      <c r="J193" s="16" t="n"/>
      <c r="K193" s="15" t="n"/>
      <c r="L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5" t="n"/>
      <c r="I194" s="16" t="n"/>
      <c r="J194" s="16" t="n"/>
      <c r="K194" s="15" t="n"/>
      <c r="L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5" t="n"/>
      <c r="I195" s="16" t="n"/>
      <c r="J195" s="16" t="n"/>
      <c r="K195" s="15" t="n"/>
      <c r="L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5" t="n"/>
      <c r="I196" s="16" t="n"/>
      <c r="J196" s="16" t="n"/>
      <c r="K196" s="15" t="n"/>
      <c r="L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5" t="n"/>
      <c r="I197" s="16" t="n"/>
      <c r="J197" s="16" t="n"/>
      <c r="K197" s="15" t="n"/>
      <c r="L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5" t="n"/>
      <c r="I198" s="16" t="n"/>
      <c r="J198" s="16" t="n"/>
      <c r="K198" s="15" t="n"/>
      <c r="L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5" t="n"/>
      <c r="I199" s="16" t="n"/>
      <c r="J199" s="16" t="n"/>
      <c r="K199" s="15" t="n"/>
      <c r="L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5" t="n"/>
      <c r="I200" s="16" t="n"/>
      <c r="J200" s="16" t="n"/>
      <c r="K200" s="15" t="n"/>
      <c r="L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5" t="n"/>
      <c r="I201" s="16" t="n"/>
      <c r="J201" s="16" t="n"/>
      <c r="K201" s="15" t="n"/>
      <c r="L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5" t="n"/>
      <c r="I202" s="16" t="n"/>
      <c r="J202" s="16" t="n"/>
      <c r="K202" s="15" t="n"/>
      <c r="L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5" t="n"/>
      <c r="I203" s="16" t="n"/>
      <c r="J203" s="16" t="n"/>
      <c r="K203" s="15" t="n"/>
      <c r="L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5" t="n"/>
      <c r="I204" s="16" t="n"/>
      <c r="J204" s="16" t="n"/>
      <c r="K204" s="15" t="n"/>
      <c r="L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5" t="n"/>
      <c r="I205" s="16" t="n"/>
      <c r="J205" s="16" t="n"/>
      <c r="K205" s="15" t="n"/>
      <c r="L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5" t="n"/>
      <c r="I206" s="16" t="n"/>
      <c r="J206" s="16" t="n"/>
      <c r="K206" s="15" t="n"/>
      <c r="L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5" t="n"/>
      <c r="I207" s="16" t="n"/>
      <c r="J207" s="16" t="n"/>
      <c r="K207" s="15" t="n"/>
      <c r="L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5" t="n"/>
      <c r="I208" s="16" t="n"/>
      <c r="J208" s="16" t="n"/>
      <c r="K208" s="15" t="n"/>
      <c r="L208" s="16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5" t="n"/>
      <c r="I209" s="16" t="n"/>
      <c r="J209" s="16" t="n"/>
      <c r="K209" s="15" t="n"/>
      <c r="L209" s="16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5" t="n"/>
      <c r="I210" s="16" t="n"/>
      <c r="J210" s="16" t="n"/>
      <c r="K210" s="15" t="n"/>
      <c r="L210" s="16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5" t="n"/>
      <c r="I211" s="16" t="n"/>
      <c r="J211" s="16" t="n"/>
      <c r="K211" s="15" t="n"/>
      <c r="L211" s="16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5" t="n"/>
      <c r="I212" s="16" t="n"/>
      <c r="J212" s="16" t="n"/>
      <c r="K212" s="15" t="n"/>
      <c r="L212" s="16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5" t="n"/>
      <c r="I213" s="16" t="n"/>
      <c r="J213" s="16" t="n"/>
      <c r="K213" s="15" t="n"/>
      <c r="L213" s="16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5" t="n"/>
      <c r="I214" s="16" t="n"/>
      <c r="J214" s="16" t="n"/>
      <c r="K214" s="15" t="n"/>
      <c r="L214" s="16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5" t="n"/>
      <c r="I215" s="16" t="n"/>
      <c r="J215" s="16" t="n"/>
      <c r="K215" s="15" t="n"/>
      <c r="L215" s="16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5" t="n"/>
      <c r="I216" s="16" t="n"/>
      <c r="J216" s="16" t="n"/>
      <c r="K216" s="15" t="n"/>
      <c r="L216" s="16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5" t="n"/>
      <c r="I217" s="16" t="n"/>
      <c r="J217" s="16" t="n"/>
      <c r="K217" s="15" t="n"/>
      <c r="L217" s="16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5" t="n"/>
      <c r="I218" s="16" t="n"/>
      <c r="J218" s="16" t="n"/>
      <c r="K218" s="15" t="n"/>
      <c r="L218" s="16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5" t="n"/>
      <c r="I219" s="16" t="n"/>
      <c r="J219" s="16" t="n"/>
      <c r="K219" s="15" t="n"/>
      <c r="L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5" t="n"/>
      <c r="I220" s="16" t="n"/>
      <c r="J220" s="16" t="n"/>
      <c r="K220" s="15" t="n"/>
      <c r="L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5" t="n"/>
      <c r="I221" s="16" t="n"/>
      <c r="J221" s="16" t="n"/>
      <c r="K221" s="15" t="n"/>
      <c r="L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5" t="n"/>
      <c r="I222" s="16" t="n"/>
      <c r="J222" s="16" t="n"/>
      <c r="K222" s="15" t="n"/>
      <c r="L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5" t="n"/>
      <c r="I223" s="16" t="n"/>
      <c r="J223" s="16" t="n"/>
      <c r="K223" s="15" t="n"/>
      <c r="L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5" t="n"/>
      <c r="I224" s="16" t="n"/>
      <c r="J224" s="16" t="n"/>
      <c r="K224" s="15" t="n"/>
      <c r="L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5" t="n"/>
      <c r="I225" s="16" t="n"/>
      <c r="J225" s="16" t="n"/>
      <c r="K225" s="15" t="n"/>
      <c r="L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5" t="n"/>
      <c r="I226" s="16" t="n"/>
      <c r="J226" s="16" t="n"/>
      <c r="K226" s="15" t="n"/>
      <c r="L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5" t="n"/>
      <c r="I227" s="16" t="n"/>
      <c r="J227" s="16" t="n"/>
      <c r="K227" s="15" t="n"/>
      <c r="L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5" t="n"/>
      <c r="I228" s="16" t="n"/>
      <c r="J228" s="16" t="n"/>
      <c r="K228" s="15" t="n"/>
      <c r="L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5" t="n"/>
      <c r="I229" s="16" t="n"/>
      <c r="J229" s="16" t="n"/>
      <c r="K229" s="15" t="n"/>
      <c r="L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5" t="n"/>
      <c r="I230" s="16" t="n"/>
      <c r="J230" s="16" t="n"/>
      <c r="K230" s="15" t="n"/>
      <c r="L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5" t="n"/>
      <c r="I231" s="16" t="n"/>
      <c r="J231" s="16" t="n"/>
      <c r="K231" s="15" t="n"/>
      <c r="L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5" t="n"/>
      <c r="I232" s="16" t="n"/>
      <c r="J232" s="16" t="n"/>
      <c r="K232" s="15" t="n"/>
      <c r="L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5" t="n"/>
      <c r="I233" s="16" t="n"/>
      <c r="J233" s="16" t="n"/>
      <c r="K233" s="15" t="n"/>
      <c r="L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5" t="n"/>
      <c r="I234" s="16" t="n"/>
      <c r="J234" s="16" t="n"/>
      <c r="K234" s="15" t="n"/>
      <c r="L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5" t="n"/>
      <c r="I235" s="16" t="n"/>
      <c r="J235" s="16" t="n"/>
      <c r="K235" s="15" t="n"/>
      <c r="L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5" t="n"/>
      <c r="I236" s="16" t="n"/>
      <c r="J236" s="16" t="n"/>
      <c r="K236" s="15" t="n"/>
      <c r="L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5" t="n"/>
      <c r="I237" s="16" t="n"/>
      <c r="J237" s="16" t="n"/>
      <c r="K237" s="15" t="n"/>
      <c r="L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5" t="n"/>
      <c r="I238" s="16" t="n"/>
      <c r="J238" s="16" t="n"/>
      <c r="K238" s="15" t="n"/>
      <c r="L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5" t="n"/>
      <c r="I239" s="16" t="n"/>
      <c r="J239" s="16" t="n"/>
      <c r="K239" s="15" t="n"/>
      <c r="L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5" t="n"/>
      <c r="I240" s="16" t="n"/>
      <c r="J240" s="16" t="n"/>
      <c r="K240" s="15" t="n"/>
      <c r="L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5" t="n"/>
      <c r="I241" s="16" t="n"/>
      <c r="J241" s="16" t="n"/>
      <c r="K241" s="15" t="n"/>
      <c r="L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5" t="n"/>
      <c r="I242" s="16" t="n"/>
      <c r="J242" s="16" t="n"/>
      <c r="K242" s="15" t="n"/>
      <c r="L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5" t="n"/>
      <c r="I243" s="16" t="n"/>
      <c r="J243" s="16" t="n"/>
      <c r="K243" s="15" t="n"/>
      <c r="L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5" t="n"/>
      <c r="I244" s="16" t="n"/>
      <c r="J244" s="16" t="n"/>
      <c r="K244" s="15" t="n"/>
      <c r="L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5" t="n"/>
      <c r="I245" s="16" t="n"/>
      <c r="J245" s="16" t="n"/>
      <c r="K245" s="15" t="n"/>
      <c r="L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5" t="n"/>
      <c r="I246" s="16" t="n"/>
      <c r="J246" s="16" t="n"/>
      <c r="K246" s="15" t="n"/>
      <c r="L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5" t="n"/>
      <c r="I247" s="16" t="n"/>
      <c r="J247" s="16" t="n"/>
      <c r="K247" s="15" t="n"/>
      <c r="L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5" t="n"/>
      <c r="I248" s="16" t="n"/>
      <c r="J248" s="16" t="n"/>
      <c r="K248" s="15" t="n"/>
      <c r="L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5" t="n"/>
      <c r="I249" s="16" t="n"/>
      <c r="J249" s="16" t="n"/>
      <c r="K249" s="15" t="n"/>
      <c r="L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5" t="n"/>
      <c r="I250" s="16" t="n"/>
      <c r="J250" s="16" t="n"/>
      <c r="K250" s="15" t="n"/>
      <c r="L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5" t="n"/>
      <c r="I251" s="16" t="n"/>
      <c r="J251" s="16" t="n"/>
      <c r="K251" s="15" t="n"/>
      <c r="L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5" t="n"/>
      <c r="I252" s="16" t="n"/>
      <c r="J252" s="16" t="n"/>
      <c r="K252" s="15" t="n"/>
      <c r="L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5" t="n"/>
      <c r="I253" s="16" t="n"/>
      <c r="J253" s="16" t="n"/>
      <c r="K253" s="15" t="n"/>
      <c r="L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5" t="n"/>
      <c r="I254" s="16" t="n"/>
      <c r="J254" s="16" t="n"/>
      <c r="K254" s="15" t="n"/>
      <c r="L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5" t="n"/>
      <c r="I255" s="16" t="n"/>
      <c r="J255" s="16" t="n"/>
      <c r="K255" s="15" t="n"/>
      <c r="L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5" t="n"/>
      <c r="I256" s="16" t="n"/>
      <c r="J256" s="16" t="n"/>
      <c r="K256" s="15" t="n"/>
      <c r="L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5" t="n"/>
      <c r="I257" s="16" t="n"/>
      <c r="J257" s="16" t="n"/>
      <c r="K257" s="15" t="n"/>
      <c r="L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5" t="n"/>
      <c r="I258" s="16" t="n"/>
      <c r="J258" s="16" t="n"/>
      <c r="K258" s="15" t="n"/>
      <c r="L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5" t="n"/>
      <c r="I259" s="16" t="n"/>
      <c r="J259" s="16" t="n"/>
      <c r="K259" s="15" t="n"/>
      <c r="L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5" t="n"/>
      <c r="I260" s="16" t="n"/>
      <c r="J260" s="16" t="n"/>
      <c r="K260" s="15" t="n"/>
      <c r="L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5" t="n"/>
      <c r="I261" s="16" t="n"/>
      <c r="J261" s="16" t="n"/>
      <c r="K261" s="15" t="n"/>
      <c r="L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5" t="n"/>
      <c r="I262" s="16" t="n"/>
      <c r="J262" s="16" t="n"/>
      <c r="K262" s="15" t="n"/>
      <c r="L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5" t="n"/>
      <c r="I263" s="16" t="n"/>
      <c r="J263" s="16" t="n"/>
      <c r="K263" s="15" t="n"/>
      <c r="L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5" t="n"/>
      <c r="I264" s="16" t="n"/>
      <c r="J264" s="16" t="n"/>
      <c r="K264" s="15" t="n"/>
      <c r="L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5" t="n"/>
      <c r="I265" s="16" t="n"/>
      <c r="J265" s="16" t="n"/>
      <c r="K265" s="15" t="n"/>
      <c r="L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5" t="n"/>
      <c r="I266" s="16" t="n"/>
      <c r="J266" s="16" t="n"/>
      <c r="K266" s="15" t="n"/>
      <c r="L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5" t="n"/>
      <c r="I267" s="16" t="n"/>
      <c r="J267" s="16" t="n"/>
      <c r="K267" s="15" t="n"/>
      <c r="L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5" t="n"/>
      <c r="I268" s="16" t="n"/>
      <c r="J268" s="16" t="n"/>
      <c r="K268" s="15" t="n"/>
      <c r="L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5" t="n"/>
      <c r="I269" s="16" t="n"/>
      <c r="J269" s="16" t="n"/>
      <c r="K269" s="15" t="n"/>
      <c r="L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5" t="n"/>
      <c r="I270" s="16" t="n"/>
      <c r="J270" s="16" t="n"/>
      <c r="K270" s="15" t="n"/>
      <c r="L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5" t="n"/>
      <c r="I271" s="16" t="n"/>
      <c r="J271" s="16" t="n"/>
      <c r="K271" s="15" t="n"/>
      <c r="L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5" t="n"/>
      <c r="I272" s="16" t="n"/>
      <c r="J272" s="16" t="n"/>
      <c r="K272" s="15" t="n"/>
      <c r="L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5" t="n"/>
      <c r="I273" s="16" t="n"/>
      <c r="J273" s="16" t="n"/>
      <c r="K273" s="15" t="n"/>
      <c r="L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5" t="n"/>
      <c r="I274" s="16" t="n"/>
      <c r="J274" s="16" t="n"/>
      <c r="K274" s="15" t="n"/>
      <c r="L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5" t="n"/>
      <c r="I275" s="16" t="n"/>
      <c r="J275" s="16" t="n"/>
      <c r="K275" s="15" t="n"/>
      <c r="L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5" t="n"/>
      <c r="I276" s="16" t="n"/>
      <c r="J276" s="16" t="n"/>
      <c r="K276" s="15" t="n"/>
      <c r="L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5" t="n"/>
      <c r="I277" s="16" t="n"/>
      <c r="J277" s="16" t="n"/>
      <c r="K277" s="15" t="n"/>
      <c r="L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5" t="n"/>
      <c r="I278" s="16" t="n"/>
      <c r="J278" s="16" t="n"/>
      <c r="K278" s="15" t="n"/>
      <c r="L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5" t="n"/>
      <c r="I279" s="16" t="n"/>
      <c r="J279" s="16" t="n"/>
      <c r="K279" s="15" t="n"/>
      <c r="L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5" t="n"/>
      <c r="I280" s="16" t="n"/>
      <c r="J280" s="16" t="n"/>
      <c r="K280" s="15" t="n"/>
      <c r="L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5" t="n"/>
      <c r="I281" s="16" t="n"/>
      <c r="J281" s="16" t="n"/>
      <c r="K281" s="15" t="n"/>
      <c r="L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5" t="n"/>
      <c r="I282" s="16" t="n"/>
      <c r="J282" s="16" t="n"/>
      <c r="K282" s="15" t="n"/>
      <c r="L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5" t="n"/>
      <c r="I283" s="16" t="n"/>
      <c r="J283" s="16" t="n"/>
      <c r="K283" s="15" t="n"/>
      <c r="L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5" t="n"/>
      <c r="I284" s="16" t="n"/>
      <c r="J284" s="16" t="n"/>
      <c r="K284" s="15" t="n"/>
      <c r="L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5" t="n"/>
      <c r="I285" s="16" t="n"/>
      <c r="J285" s="16" t="n"/>
      <c r="K285" s="15" t="n"/>
      <c r="L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5" t="n"/>
      <c r="I286" s="16" t="n"/>
      <c r="J286" s="16" t="n"/>
      <c r="K286" s="15" t="n"/>
      <c r="L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5" t="n"/>
      <c r="I287" s="16" t="n"/>
      <c r="J287" s="16" t="n"/>
      <c r="K287" s="15" t="n"/>
      <c r="L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5" t="n"/>
      <c r="I288" s="16" t="n"/>
      <c r="J288" s="16" t="n"/>
      <c r="K288" s="15" t="n"/>
      <c r="L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5" t="n"/>
      <c r="I289" s="16" t="n"/>
      <c r="J289" s="16" t="n"/>
      <c r="K289" s="15" t="n"/>
      <c r="L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5" t="n"/>
      <c r="I290" s="16" t="n"/>
      <c r="J290" s="16" t="n"/>
      <c r="K290" s="15" t="n"/>
      <c r="L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5" t="n"/>
      <c r="I291" s="16" t="n"/>
      <c r="J291" s="16" t="n"/>
      <c r="K291" s="15" t="n"/>
      <c r="L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5" t="n"/>
      <c r="I292" s="16" t="n"/>
      <c r="J292" s="16" t="n"/>
      <c r="K292" s="15" t="n"/>
      <c r="L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5" t="n"/>
      <c r="I293" s="16" t="n"/>
      <c r="J293" s="16" t="n"/>
      <c r="K293" s="15" t="n"/>
      <c r="L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5" t="n"/>
      <c r="I294" s="16" t="n"/>
      <c r="J294" s="16" t="n"/>
      <c r="K294" s="15" t="n"/>
      <c r="L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5" t="n"/>
      <c r="I295" s="16" t="n"/>
      <c r="J295" s="16" t="n"/>
      <c r="K295" s="15" t="n"/>
      <c r="L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5" t="n"/>
      <c r="I296" s="16" t="n"/>
      <c r="J296" s="16" t="n"/>
      <c r="K296" s="15" t="n"/>
      <c r="L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5" t="n"/>
      <c r="I297" s="16" t="n"/>
      <c r="J297" s="16" t="n"/>
      <c r="K297" s="15" t="n"/>
      <c r="L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5" t="n"/>
      <c r="I298" s="16" t="n"/>
      <c r="J298" s="16" t="n"/>
      <c r="K298" s="15" t="n"/>
      <c r="L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5" t="n"/>
      <c r="I299" s="16" t="n"/>
      <c r="J299" s="16" t="n"/>
      <c r="K299" s="15" t="n"/>
      <c r="L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5" t="n"/>
      <c r="I300" s="16" t="n"/>
      <c r="J300" s="16" t="n"/>
      <c r="K300" s="15" t="n"/>
      <c r="L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5" t="n"/>
      <c r="I301" s="16" t="n"/>
      <c r="J301" s="16" t="n"/>
      <c r="K301" s="15" t="n"/>
      <c r="L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5" t="n"/>
      <c r="I302" s="16" t="n"/>
      <c r="J302" s="16" t="n"/>
      <c r="K302" s="15" t="n"/>
      <c r="L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5" t="n"/>
      <c r="I303" s="16" t="n"/>
      <c r="J303" s="16" t="n"/>
      <c r="K303" s="15" t="n"/>
      <c r="L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5" t="n"/>
      <c r="I304" s="16" t="n"/>
      <c r="J304" s="16" t="n"/>
      <c r="K304" s="15" t="n"/>
      <c r="L304" s="16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5" t="n"/>
      <c r="I305" s="16" t="n"/>
      <c r="J305" s="16" t="n"/>
      <c r="K305" s="15" t="n"/>
      <c r="L305" s="16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5" t="n"/>
      <c r="I306" s="16" t="n"/>
      <c r="J306" s="16" t="n"/>
      <c r="K306" s="15" t="n"/>
      <c r="L306" s="16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5" t="n"/>
      <c r="I307" s="16" t="n"/>
      <c r="J307" s="16" t="n"/>
      <c r="K307" s="15" t="n"/>
      <c r="L307" s="16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5" t="n"/>
      <c r="I308" s="16" t="n"/>
      <c r="J308" s="16" t="n"/>
      <c r="K308" s="15" t="n"/>
      <c r="L308" s="16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5" t="n"/>
      <c r="I309" s="16" t="n"/>
      <c r="J309" s="16" t="n"/>
      <c r="K309" s="15" t="n"/>
      <c r="L309" s="16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5" t="n"/>
      <c r="I310" s="16" t="n"/>
      <c r="J310" s="16" t="n"/>
      <c r="K310" s="15" t="n"/>
      <c r="L310" s="16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5" t="n"/>
      <c r="I311" s="16" t="n"/>
      <c r="J311" s="16" t="n"/>
      <c r="K311" s="15" t="n"/>
      <c r="L311" s="16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5" t="n"/>
      <c r="I312" s="16" t="n"/>
      <c r="J312" s="16" t="n"/>
      <c r="K312" s="15" t="n"/>
      <c r="L312" s="16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5" t="n"/>
      <c r="I313" s="16" t="n"/>
      <c r="J313" s="16" t="n"/>
      <c r="K313" s="15" t="n"/>
      <c r="L313" s="16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5" t="n"/>
      <c r="I314" s="16" t="n"/>
      <c r="J314" s="16" t="n"/>
      <c r="K314" s="15" t="n"/>
      <c r="L314" s="16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5" t="n"/>
      <c r="I315" s="16" t="n"/>
      <c r="J315" s="16" t="n"/>
      <c r="K315" s="15" t="n"/>
      <c r="L315" s="16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5" t="n"/>
      <c r="I316" s="16" t="n"/>
      <c r="J316" s="16" t="n"/>
      <c r="K316" s="15" t="n"/>
      <c r="L316" s="16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5" t="n"/>
      <c r="I317" s="16" t="n"/>
      <c r="J317" s="16" t="n"/>
      <c r="K317" s="15" t="n"/>
      <c r="L317" s="16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5" t="n"/>
      <c r="I318" s="16" t="n"/>
      <c r="J318" s="16" t="n"/>
      <c r="K318" s="15" t="n"/>
      <c r="L318" s="16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5" t="n"/>
      <c r="I319" s="16" t="n"/>
      <c r="J319" s="16" t="n"/>
      <c r="K319" s="15" t="n"/>
      <c r="L319" s="16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5" t="n"/>
      <c r="I320" s="16" t="n"/>
      <c r="J320" s="16" t="n"/>
      <c r="K320" s="15" t="n"/>
      <c r="L320" s="16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5" t="n"/>
      <c r="I321" s="16" t="n"/>
      <c r="J321" s="16" t="n"/>
      <c r="K321" s="15" t="n"/>
      <c r="L321" s="16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5" t="n"/>
      <c r="I322" s="16" t="n"/>
      <c r="J322" s="16" t="n"/>
      <c r="K322" s="15" t="n"/>
      <c r="L322" s="16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5" t="n"/>
      <c r="I323" s="16" t="n"/>
      <c r="J323" s="16" t="n"/>
      <c r="K323" s="15" t="n"/>
      <c r="L323" s="16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5" t="n"/>
      <c r="I324" s="16" t="n"/>
      <c r="J324" s="16" t="n"/>
      <c r="K324" s="15" t="n"/>
      <c r="L324" s="16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5" t="n"/>
      <c r="I325" s="16" t="n"/>
      <c r="J325" s="16" t="n"/>
      <c r="K325" s="15" t="n"/>
      <c r="L325" s="16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5" t="n"/>
      <c r="I326" s="16" t="n"/>
      <c r="J326" s="16" t="n"/>
      <c r="K326" s="15" t="n"/>
      <c r="L326" s="16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5" t="n"/>
      <c r="I327" s="16" t="n"/>
      <c r="J327" s="16" t="n"/>
      <c r="K327" s="15" t="n"/>
      <c r="L327" s="16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5" t="n"/>
      <c r="I328" s="16" t="n"/>
      <c r="J328" s="16" t="n"/>
      <c r="K328" s="15" t="n"/>
      <c r="L328" s="16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5" t="n"/>
      <c r="I329" s="16" t="n"/>
      <c r="J329" s="16" t="n"/>
      <c r="K329" s="15" t="n"/>
      <c r="L329" s="16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5" t="n"/>
      <c r="I330" s="16" t="n"/>
      <c r="J330" s="16" t="n"/>
      <c r="K330" s="15" t="n"/>
      <c r="L330" s="16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5" t="n"/>
      <c r="I331" s="16" t="n"/>
      <c r="J331" s="16" t="n"/>
      <c r="K331" s="15" t="n"/>
      <c r="L331" s="16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5" t="n"/>
      <c r="I332" s="16" t="n"/>
      <c r="J332" s="16" t="n"/>
      <c r="K332" s="15" t="n"/>
      <c r="L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5" t="n"/>
      <c r="I333" s="16" t="n"/>
      <c r="J333" s="16" t="n"/>
      <c r="K333" s="15" t="n"/>
      <c r="L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5" t="n"/>
      <c r="I334" s="16" t="n"/>
      <c r="J334" s="16" t="n"/>
      <c r="K334" s="15" t="n"/>
      <c r="L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5" t="n"/>
      <c r="I335" s="16" t="n"/>
      <c r="J335" s="16" t="n"/>
      <c r="K335" s="15" t="n"/>
      <c r="L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5" t="n"/>
      <c r="I336" s="16" t="n"/>
      <c r="J336" s="16" t="n"/>
      <c r="K336" s="15" t="n"/>
      <c r="L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5" t="n"/>
      <c r="I337" s="16" t="n"/>
      <c r="J337" s="16" t="n"/>
      <c r="K337" s="15" t="n"/>
      <c r="L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5" t="n"/>
      <c r="I338" s="16" t="n"/>
      <c r="J338" s="16" t="n"/>
      <c r="K338" s="15" t="n"/>
      <c r="L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5" t="n"/>
      <c r="I339" s="16" t="n"/>
      <c r="J339" s="16" t="n"/>
      <c r="K339" s="15" t="n"/>
      <c r="L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5" t="n"/>
      <c r="I340" s="16" t="n"/>
      <c r="J340" s="16" t="n"/>
      <c r="K340" s="15" t="n"/>
      <c r="L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5" t="n"/>
      <c r="I341" s="16" t="n"/>
      <c r="J341" s="16" t="n"/>
      <c r="K341" s="15" t="n"/>
      <c r="L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5" t="n"/>
      <c r="I342" s="16" t="n"/>
      <c r="J342" s="16" t="n"/>
      <c r="K342" s="15" t="n"/>
      <c r="L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5" t="n"/>
      <c r="I343" s="16" t="n"/>
      <c r="J343" s="16" t="n"/>
      <c r="K343" s="15" t="n"/>
      <c r="L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5" t="n"/>
      <c r="I344" s="16" t="n"/>
      <c r="J344" s="16" t="n"/>
      <c r="K344" s="15" t="n"/>
      <c r="L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5" t="n"/>
      <c r="I345" s="16" t="n"/>
      <c r="J345" s="16" t="n"/>
      <c r="K345" s="15" t="n"/>
      <c r="L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5" t="n"/>
      <c r="I346" s="16" t="n"/>
      <c r="J346" s="16" t="n"/>
      <c r="K346" s="15" t="n"/>
      <c r="L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5" t="n"/>
      <c r="I347" s="16" t="n"/>
      <c r="J347" s="16" t="n"/>
      <c r="K347" s="15" t="n"/>
      <c r="L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5" t="n"/>
      <c r="I348" s="16" t="n"/>
      <c r="J348" s="16" t="n"/>
      <c r="K348" s="15" t="n"/>
      <c r="L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5" t="n"/>
      <c r="I349" s="16" t="n"/>
      <c r="J349" s="16" t="n"/>
      <c r="K349" s="15" t="n"/>
      <c r="L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5" t="n"/>
      <c r="I350" s="16" t="n"/>
      <c r="J350" s="16" t="n"/>
      <c r="K350" s="15" t="n"/>
      <c r="L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5" t="n"/>
      <c r="I351" s="16" t="n"/>
      <c r="J351" s="16" t="n"/>
      <c r="K351" s="15" t="n"/>
      <c r="L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5" t="n"/>
      <c r="I352" s="16" t="n"/>
      <c r="J352" s="16" t="n"/>
      <c r="K352" s="15" t="n"/>
      <c r="L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5" t="n"/>
      <c r="I353" s="16" t="n"/>
      <c r="J353" s="16" t="n"/>
      <c r="K353" s="15" t="n"/>
      <c r="L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5" t="n"/>
      <c r="I354" s="16" t="n"/>
      <c r="J354" s="16" t="n"/>
      <c r="K354" s="15" t="n"/>
      <c r="L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5" t="n"/>
      <c r="I355" s="16" t="n"/>
      <c r="J355" s="16" t="n"/>
      <c r="K355" s="15" t="n"/>
      <c r="L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5" t="n"/>
      <c r="I356" s="16" t="n"/>
      <c r="J356" s="16" t="n"/>
      <c r="K356" s="15" t="n"/>
      <c r="L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5" t="n"/>
      <c r="I357" s="16" t="n"/>
      <c r="J357" s="16" t="n"/>
      <c r="K357" s="15" t="n"/>
      <c r="L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5" t="n"/>
      <c r="I358" s="16" t="n"/>
      <c r="J358" s="16" t="n"/>
      <c r="K358" s="15" t="n"/>
      <c r="L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5" t="n"/>
      <c r="I359" s="16" t="n"/>
      <c r="J359" s="16" t="n"/>
      <c r="K359" s="15" t="n"/>
      <c r="L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5" t="n"/>
      <c r="I360" s="16" t="n"/>
      <c r="J360" s="16" t="n"/>
      <c r="K360" s="15" t="n"/>
      <c r="L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5" t="n"/>
      <c r="I361" s="16" t="n"/>
      <c r="J361" s="16" t="n"/>
      <c r="K361" s="15" t="n"/>
      <c r="L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5" t="n"/>
      <c r="I362" s="16" t="n"/>
      <c r="J362" s="16" t="n"/>
      <c r="K362" s="15" t="n"/>
      <c r="L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5" t="n"/>
      <c r="I363" s="16" t="n"/>
      <c r="J363" s="16" t="n"/>
      <c r="K363" s="15" t="n"/>
      <c r="L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5" t="n"/>
      <c r="I364" s="16" t="n"/>
      <c r="J364" s="16" t="n"/>
      <c r="K364" s="15" t="n"/>
      <c r="L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5" t="n"/>
      <c r="I365" s="16" t="n"/>
      <c r="J365" s="16" t="n"/>
      <c r="K365" s="15" t="n"/>
      <c r="L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5" t="n"/>
      <c r="I366" s="16" t="n"/>
      <c r="J366" s="16" t="n"/>
      <c r="K366" s="15" t="n"/>
      <c r="L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5" t="n"/>
      <c r="I367" s="16" t="n"/>
      <c r="J367" s="16" t="n"/>
      <c r="K367" s="15" t="n"/>
      <c r="L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5" t="n"/>
      <c r="I368" s="16" t="n"/>
      <c r="J368" s="16" t="n"/>
      <c r="K368" s="15" t="n"/>
      <c r="L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5" t="n"/>
      <c r="I369" s="16" t="n"/>
      <c r="J369" s="16" t="n"/>
      <c r="K369" s="15" t="n"/>
      <c r="L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5" t="n"/>
      <c r="I370" s="16" t="n"/>
      <c r="J370" s="16" t="n"/>
      <c r="K370" s="15" t="n"/>
      <c r="L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5" t="n"/>
      <c r="I371" s="16" t="n"/>
      <c r="J371" s="16" t="n"/>
      <c r="K371" s="15" t="n"/>
      <c r="L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5" t="n"/>
      <c r="I372" s="16" t="n"/>
      <c r="J372" s="16" t="n"/>
      <c r="K372" s="15" t="n"/>
      <c r="L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5" t="n"/>
      <c r="I373" s="16" t="n"/>
      <c r="J373" s="16" t="n"/>
      <c r="K373" s="15" t="n"/>
      <c r="L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5" t="n"/>
      <c r="I374" s="16" t="n"/>
      <c r="J374" s="16" t="n"/>
      <c r="K374" s="15" t="n"/>
      <c r="L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5" t="n"/>
      <c r="I375" s="16" t="n"/>
      <c r="J375" s="16" t="n"/>
      <c r="K375" s="15" t="n"/>
      <c r="L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5" t="n"/>
      <c r="I376" s="16" t="n"/>
      <c r="J376" s="16" t="n"/>
      <c r="K376" s="15" t="n"/>
      <c r="L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5" t="n"/>
      <c r="I377" s="16" t="n"/>
      <c r="J377" s="16" t="n"/>
      <c r="K377" s="15" t="n"/>
      <c r="L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5" t="n"/>
      <c r="I378" s="16" t="n"/>
      <c r="J378" s="16" t="n"/>
      <c r="K378" s="15" t="n"/>
      <c r="L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5" t="n"/>
      <c r="I379" s="16" t="n"/>
      <c r="J379" s="16" t="n"/>
      <c r="K379" s="15" t="n"/>
      <c r="L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5" t="n"/>
      <c r="I380" s="16" t="n"/>
      <c r="J380" s="16" t="n"/>
      <c r="K380" s="15" t="n"/>
      <c r="L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5" t="n"/>
      <c r="I381" s="16" t="n"/>
      <c r="J381" s="16" t="n"/>
      <c r="K381" s="15" t="n"/>
      <c r="L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5" t="n"/>
      <c r="I382" s="16" t="n"/>
      <c r="J382" s="16" t="n"/>
      <c r="K382" s="15" t="n"/>
      <c r="L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5" t="n"/>
      <c r="I383" s="16" t="n"/>
      <c r="J383" s="16" t="n"/>
      <c r="K383" s="15" t="n"/>
      <c r="L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5" t="n"/>
      <c r="I384" s="16" t="n"/>
      <c r="J384" s="16" t="n"/>
      <c r="K384" s="15" t="n"/>
      <c r="L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5" t="n"/>
      <c r="I385" s="16" t="n"/>
      <c r="J385" s="16" t="n"/>
      <c r="K385" s="15" t="n"/>
      <c r="L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5" t="n"/>
      <c r="I386" s="16" t="n"/>
      <c r="J386" s="16" t="n"/>
      <c r="K386" s="15" t="n"/>
      <c r="L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5" t="n"/>
      <c r="I387" s="16" t="n"/>
      <c r="J387" s="16" t="n"/>
      <c r="K387" s="15" t="n"/>
      <c r="L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5" t="n"/>
      <c r="I388" s="16" t="n"/>
      <c r="J388" s="16" t="n"/>
      <c r="K388" s="15" t="n"/>
      <c r="L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5" t="n"/>
      <c r="I389" s="16" t="n"/>
      <c r="J389" s="16" t="n"/>
      <c r="K389" s="15" t="n"/>
      <c r="L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5" t="n"/>
      <c r="I390" s="16" t="n"/>
      <c r="J390" s="16" t="n"/>
      <c r="K390" s="15" t="n"/>
      <c r="L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5" t="n"/>
      <c r="I391" s="16" t="n"/>
      <c r="J391" s="16" t="n"/>
      <c r="K391" s="15" t="n"/>
      <c r="L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5" t="n"/>
      <c r="I392" s="16" t="n"/>
      <c r="J392" s="16" t="n"/>
      <c r="K392" s="15" t="n"/>
      <c r="L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5" t="n"/>
      <c r="I393" s="16" t="n"/>
      <c r="J393" s="16" t="n"/>
      <c r="K393" s="15" t="n"/>
      <c r="L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5" t="n"/>
      <c r="I394" s="16" t="n"/>
      <c r="J394" s="16" t="n"/>
      <c r="K394" s="15" t="n"/>
      <c r="L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5" t="n"/>
      <c r="I395" s="16" t="n"/>
      <c r="J395" s="16" t="n"/>
      <c r="K395" s="15" t="n"/>
      <c r="L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5" t="n"/>
      <c r="I396" s="16" t="n"/>
      <c r="J396" s="16" t="n"/>
      <c r="K396" s="15" t="n"/>
      <c r="L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5" t="n"/>
      <c r="I397" s="16" t="n"/>
      <c r="J397" s="16" t="n"/>
      <c r="K397" s="15" t="n"/>
      <c r="L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5" t="n"/>
      <c r="I398" s="16" t="n"/>
      <c r="J398" s="16" t="n"/>
      <c r="K398" s="15" t="n"/>
      <c r="L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5" t="n"/>
      <c r="I399" s="16" t="n"/>
      <c r="J399" s="16" t="n"/>
      <c r="K399" s="15" t="n"/>
      <c r="L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5" t="n"/>
      <c r="I400" s="16" t="n"/>
      <c r="J400" s="16" t="n"/>
      <c r="K400" s="15" t="n"/>
      <c r="L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5" t="n"/>
      <c r="I401" s="16" t="n"/>
      <c r="J401" s="16" t="n"/>
      <c r="K401" s="15" t="n"/>
      <c r="L401" s="16" t="n"/>
    </row>
  </sheetData>
  <autoFilter ref="A1:L401"/>
  <dataValidations count="2">
    <dataValidation sqref="G2:G401" showDropDown="0" showInputMessage="0" showErrorMessage="1" allowBlank="1" errorTitle="Valor no válido" error="Elegí una opción de la lista." type="list">
      <formula1>=Listas!$B$2:$B$6</formula1>
    </dataValidation>
    <dataValidation sqref="I2:I401" showDropDown="0" showInputMessage="0" showErrorMessage="1" allowBlank="1" errorTitle="Valor no válido" error="Elegí una opción de la lista." type="list">
      <formula1>=Listas!$E$2:$E$8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1" customWidth="1" min="9" max="9"/>
    <col width="14" customWidth="1" min="10" max="10"/>
  </cols>
  <sheetData>
    <row r="1">
      <c r="A1" s="1" t="inlineStr">
        <is>
          <t>Resumen semanal</t>
        </is>
      </c>
    </row>
    <row r="2">
      <c r="A2" s="2" t="inlineStr">
        <is>
          <t>Se calcula solo con Visitas y Prospectos. Cambiá solo la fecha de la primera semana (amarillo); las demás se arman solas.</t>
        </is>
      </c>
    </row>
    <row r="4" ht="30" customHeight="1">
      <c r="A4" s="9" t="inlineStr">
        <is>
          <t>Semana desde</t>
        </is>
      </c>
      <c r="B4" s="9" t="inlineStr">
        <is>
          <t>Hasta</t>
        </is>
      </c>
      <c r="C4" s="9" t="inlineStr">
        <is>
          <t>Contactos</t>
        </is>
      </c>
      <c r="D4" s="9" t="inlineStr">
        <is>
          <t>Prospectos nuevos</t>
        </is>
      </c>
      <c r="E4" s="9" t="inlineStr">
        <is>
          <t>Cotizaciones</t>
        </is>
      </c>
      <c r="F4" s="9" t="inlineStr">
        <is>
          <t>Primeros pedidos</t>
        </is>
      </c>
      <c r="G4" s="9" t="inlineStr">
        <is>
          <t>Pedidos repetidos</t>
        </is>
      </c>
      <c r="H4" s="9" t="inlineStr">
        <is>
          <t>Ventas ($)</t>
        </is>
      </c>
      <c r="I4" s="9" t="inlineStr">
        <is>
          <t>Conversión</t>
        </is>
      </c>
      <c r="J4" s="9" t="inlineStr">
        <is>
          <t>Ticket promedio ($)</t>
        </is>
      </c>
    </row>
    <row r="5">
      <c r="A5" s="20" t="n">
        <v>46307</v>
      </c>
      <c r="B5" s="21">
        <f>A5+6</f>
        <v/>
      </c>
      <c r="C5" s="22">
        <f>COUNTIFS(Visitas!$A$2:$A$401,"&gt;="&amp;A5,Visitas!$A$2:$A$401,"&lt;="&amp;B5)</f>
        <v/>
      </c>
      <c r="D5" s="22">
        <f>COUNTIFS(Prospectos!$A$2:$A$401,"&gt;="&amp;A5,Prospectos!$A$2:$A$401,"&lt;="&amp;B5)</f>
        <v/>
      </c>
      <c r="E5" s="22">
        <f>COUNTIFS(Visitas!$A$2:$A$401,"&gt;="&amp;A5,Visitas!$A$2:$A$401,"&lt;="&amp;B5,Visitas!$F$2:$F$401,"Cotización enviada")</f>
        <v/>
      </c>
      <c r="F5" s="22">
        <f>COUNTIFS(Visitas!$A$2:$A$401,"&gt;="&amp;A5,Visitas!$A$2:$A$401,"&lt;="&amp;B5,Visitas!$F$2:$F$401,"Primer pedido")</f>
        <v/>
      </c>
      <c r="G5" s="22">
        <f>COUNTIFS(Visitas!$A$2:$A$401,"&gt;="&amp;A5,Visitas!$A$2:$A$401,"&lt;="&amp;B5,Visitas!$F$2:$F$401,"Pedido repetido")</f>
        <v/>
      </c>
      <c r="H5" s="23">
        <f>SUMIFS(Visitas!$G$2:$G$401,Visitas!$A$2:$A$401,"&gt;="&amp;A5,Visitas!$A$2:$A$401,"&lt;="&amp;B5)</f>
        <v/>
      </c>
      <c r="I5" s="24">
        <f>IF(C5=0,"",F5/C5)</f>
        <v/>
      </c>
      <c r="J5" s="23">
        <f>IF(F5+G5=0,"",H5/(F5+G5))</f>
        <v/>
      </c>
    </row>
    <row r="6">
      <c r="A6" s="21">
        <f>A5+7</f>
        <v/>
      </c>
      <c r="B6" s="21">
        <f>A6+6</f>
        <v/>
      </c>
      <c r="C6" s="22">
        <f>COUNTIFS(Visitas!$A$2:$A$401,"&gt;="&amp;A6,Visitas!$A$2:$A$401,"&lt;="&amp;B6)</f>
        <v/>
      </c>
      <c r="D6" s="22">
        <f>COUNTIFS(Prospectos!$A$2:$A$401,"&gt;="&amp;A6,Prospectos!$A$2:$A$401,"&lt;="&amp;B6)</f>
        <v/>
      </c>
      <c r="E6" s="22">
        <f>COUNTIFS(Visitas!$A$2:$A$401,"&gt;="&amp;A6,Visitas!$A$2:$A$401,"&lt;="&amp;B6,Visitas!$F$2:$F$401,"Cotización enviada")</f>
        <v/>
      </c>
      <c r="F6" s="22">
        <f>COUNTIFS(Visitas!$A$2:$A$401,"&gt;="&amp;A6,Visitas!$A$2:$A$401,"&lt;="&amp;B6,Visitas!$F$2:$F$401,"Primer pedido")</f>
        <v/>
      </c>
      <c r="G6" s="22">
        <f>COUNTIFS(Visitas!$A$2:$A$401,"&gt;="&amp;A6,Visitas!$A$2:$A$401,"&lt;="&amp;B6,Visitas!$F$2:$F$401,"Pedido repetido")</f>
        <v/>
      </c>
      <c r="H6" s="23">
        <f>SUMIFS(Visitas!$G$2:$G$401,Visitas!$A$2:$A$401,"&gt;="&amp;A6,Visitas!$A$2:$A$401,"&lt;="&amp;B6)</f>
        <v/>
      </c>
      <c r="I6" s="24">
        <f>IF(C6=0,"",F6/C6)</f>
        <v/>
      </c>
      <c r="J6" s="23">
        <f>IF(F6+G6=0,"",H6/(F6+G6))</f>
        <v/>
      </c>
    </row>
    <row r="7">
      <c r="A7" s="21">
        <f>A6+7</f>
        <v/>
      </c>
      <c r="B7" s="21">
        <f>A7+6</f>
        <v/>
      </c>
      <c r="C7" s="22">
        <f>COUNTIFS(Visitas!$A$2:$A$401,"&gt;="&amp;A7,Visitas!$A$2:$A$401,"&lt;="&amp;B7)</f>
        <v/>
      </c>
      <c r="D7" s="22">
        <f>COUNTIFS(Prospectos!$A$2:$A$401,"&gt;="&amp;A7,Prospectos!$A$2:$A$401,"&lt;="&amp;B7)</f>
        <v/>
      </c>
      <c r="E7" s="22">
        <f>COUNTIFS(Visitas!$A$2:$A$401,"&gt;="&amp;A7,Visitas!$A$2:$A$401,"&lt;="&amp;B7,Visitas!$F$2:$F$401,"Cotización enviada")</f>
        <v/>
      </c>
      <c r="F7" s="22">
        <f>COUNTIFS(Visitas!$A$2:$A$401,"&gt;="&amp;A7,Visitas!$A$2:$A$401,"&lt;="&amp;B7,Visitas!$F$2:$F$401,"Primer pedido")</f>
        <v/>
      </c>
      <c r="G7" s="22">
        <f>COUNTIFS(Visitas!$A$2:$A$401,"&gt;="&amp;A7,Visitas!$A$2:$A$401,"&lt;="&amp;B7,Visitas!$F$2:$F$401,"Pedido repetido")</f>
        <v/>
      </c>
      <c r="H7" s="23">
        <f>SUMIFS(Visitas!$G$2:$G$401,Visitas!$A$2:$A$401,"&gt;="&amp;A7,Visitas!$A$2:$A$401,"&lt;="&amp;B7)</f>
        <v/>
      </c>
      <c r="I7" s="24">
        <f>IF(C7=0,"",F7/C7)</f>
        <v/>
      </c>
      <c r="J7" s="23">
        <f>IF(F7+G7=0,"",H7/(F7+G7))</f>
        <v/>
      </c>
    </row>
    <row r="8">
      <c r="A8" s="21">
        <f>A7+7</f>
        <v/>
      </c>
      <c r="B8" s="21">
        <f>A8+6</f>
        <v/>
      </c>
      <c r="C8" s="22">
        <f>COUNTIFS(Visitas!$A$2:$A$401,"&gt;="&amp;A8,Visitas!$A$2:$A$401,"&lt;="&amp;B8)</f>
        <v/>
      </c>
      <c r="D8" s="22">
        <f>COUNTIFS(Prospectos!$A$2:$A$401,"&gt;="&amp;A8,Prospectos!$A$2:$A$401,"&lt;="&amp;B8)</f>
        <v/>
      </c>
      <c r="E8" s="22">
        <f>COUNTIFS(Visitas!$A$2:$A$401,"&gt;="&amp;A8,Visitas!$A$2:$A$401,"&lt;="&amp;B8,Visitas!$F$2:$F$401,"Cotización enviada")</f>
        <v/>
      </c>
      <c r="F8" s="22">
        <f>COUNTIFS(Visitas!$A$2:$A$401,"&gt;="&amp;A8,Visitas!$A$2:$A$401,"&lt;="&amp;B8,Visitas!$F$2:$F$401,"Primer pedido")</f>
        <v/>
      </c>
      <c r="G8" s="22">
        <f>COUNTIFS(Visitas!$A$2:$A$401,"&gt;="&amp;A8,Visitas!$A$2:$A$401,"&lt;="&amp;B8,Visitas!$F$2:$F$401,"Pedido repetido")</f>
        <v/>
      </c>
      <c r="H8" s="23">
        <f>SUMIFS(Visitas!$G$2:$G$401,Visitas!$A$2:$A$401,"&gt;="&amp;A8,Visitas!$A$2:$A$401,"&lt;="&amp;B8)</f>
        <v/>
      </c>
      <c r="I8" s="24">
        <f>IF(C8=0,"",F8/C8)</f>
        <v/>
      </c>
      <c r="J8" s="23">
        <f>IF(F8+G8=0,"",H8/(F8+G8))</f>
        <v/>
      </c>
    </row>
    <row r="9">
      <c r="A9" s="21">
        <f>A8+7</f>
        <v/>
      </c>
      <c r="B9" s="21">
        <f>A9+6</f>
        <v/>
      </c>
      <c r="C9" s="22">
        <f>COUNTIFS(Visitas!$A$2:$A$401,"&gt;="&amp;A9,Visitas!$A$2:$A$401,"&lt;="&amp;B9)</f>
        <v/>
      </c>
      <c r="D9" s="22">
        <f>COUNTIFS(Prospectos!$A$2:$A$401,"&gt;="&amp;A9,Prospectos!$A$2:$A$401,"&lt;="&amp;B9)</f>
        <v/>
      </c>
      <c r="E9" s="22">
        <f>COUNTIFS(Visitas!$A$2:$A$401,"&gt;="&amp;A9,Visitas!$A$2:$A$401,"&lt;="&amp;B9,Visitas!$F$2:$F$401,"Cotización enviada")</f>
        <v/>
      </c>
      <c r="F9" s="22">
        <f>COUNTIFS(Visitas!$A$2:$A$401,"&gt;="&amp;A9,Visitas!$A$2:$A$401,"&lt;="&amp;B9,Visitas!$F$2:$F$401,"Primer pedido")</f>
        <v/>
      </c>
      <c r="G9" s="22">
        <f>COUNTIFS(Visitas!$A$2:$A$401,"&gt;="&amp;A9,Visitas!$A$2:$A$401,"&lt;="&amp;B9,Visitas!$F$2:$F$401,"Pedido repetido")</f>
        <v/>
      </c>
      <c r="H9" s="23">
        <f>SUMIFS(Visitas!$G$2:$G$401,Visitas!$A$2:$A$401,"&gt;="&amp;A9,Visitas!$A$2:$A$401,"&lt;="&amp;B9)</f>
        <v/>
      </c>
      <c r="I9" s="24">
        <f>IF(C9=0,"",F9/C9)</f>
        <v/>
      </c>
      <c r="J9" s="23">
        <f>IF(F9+G9=0,"",H9/(F9+G9))</f>
        <v/>
      </c>
    </row>
    <row r="10">
      <c r="A10" s="21">
        <f>A9+7</f>
        <v/>
      </c>
      <c r="B10" s="21">
        <f>A10+6</f>
        <v/>
      </c>
      <c r="C10" s="22">
        <f>COUNTIFS(Visitas!$A$2:$A$401,"&gt;="&amp;A10,Visitas!$A$2:$A$401,"&lt;="&amp;B10)</f>
        <v/>
      </c>
      <c r="D10" s="22">
        <f>COUNTIFS(Prospectos!$A$2:$A$401,"&gt;="&amp;A10,Prospectos!$A$2:$A$401,"&lt;="&amp;B10)</f>
        <v/>
      </c>
      <c r="E10" s="22">
        <f>COUNTIFS(Visitas!$A$2:$A$401,"&gt;="&amp;A10,Visitas!$A$2:$A$401,"&lt;="&amp;B10,Visitas!$F$2:$F$401,"Cotización enviada")</f>
        <v/>
      </c>
      <c r="F10" s="22">
        <f>COUNTIFS(Visitas!$A$2:$A$401,"&gt;="&amp;A10,Visitas!$A$2:$A$401,"&lt;="&amp;B10,Visitas!$F$2:$F$401,"Primer pedido")</f>
        <v/>
      </c>
      <c r="G10" s="22">
        <f>COUNTIFS(Visitas!$A$2:$A$401,"&gt;="&amp;A10,Visitas!$A$2:$A$401,"&lt;="&amp;B10,Visitas!$F$2:$F$401,"Pedido repetido")</f>
        <v/>
      </c>
      <c r="H10" s="23">
        <f>SUMIFS(Visitas!$G$2:$G$401,Visitas!$A$2:$A$401,"&gt;="&amp;A10,Visitas!$A$2:$A$401,"&lt;="&amp;B10)</f>
        <v/>
      </c>
      <c r="I10" s="24">
        <f>IF(C10=0,"",F10/C10)</f>
        <v/>
      </c>
      <c r="J10" s="23">
        <f>IF(F10+G10=0,"",H10/(F10+G10))</f>
        <v/>
      </c>
    </row>
    <row r="11">
      <c r="A11" s="21">
        <f>A10+7</f>
        <v/>
      </c>
      <c r="B11" s="21">
        <f>A11+6</f>
        <v/>
      </c>
      <c r="C11" s="22">
        <f>COUNTIFS(Visitas!$A$2:$A$401,"&gt;="&amp;A11,Visitas!$A$2:$A$401,"&lt;="&amp;B11)</f>
        <v/>
      </c>
      <c r="D11" s="22">
        <f>COUNTIFS(Prospectos!$A$2:$A$401,"&gt;="&amp;A11,Prospectos!$A$2:$A$401,"&lt;="&amp;B11)</f>
        <v/>
      </c>
      <c r="E11" s="22">
        <f>COUNTIFS(Visitas!$A$2:$A$401,"&gt;="&amp;A11,Visitas!$A$2:$A$401,"&lt;="&amp;B11,Visitas!$F$2:$F$401,"Cotización enviada")</f>
        <v/>
      </c>
      <c r="F11" s="22">
        <f>COUNTIFS(Visitas!$A$2:$A$401,"&gt;="&amp;A11,Visitas!$A$2:$A$401,"&lt;="&amp;B11,Visitas!$F$2:$F$401,"Primer pedido")</f>
        <v/>
      </c>
      <c r="G11" s="22">
        <f>COUNTIFS(Visitas!$A$2:$A$401,"&gt;="&amp;A11,Visitas!$A$2:$A$401,"&lt;="&amp;B11,Visitas!$F$2:$F$401,"Pedido repetido")</f>
        <v/>
      </c>
      <c r="H11" s="23">
        <f>SUMIFS(Visitas!$G$2:$G$401,Visitas!$A$2:$A$401,"&gt;="&amp;A11,Visitas!$A$2:$A$401,"&lt;="&amp;B11)</f>
        <v/>
      </c>
      <c r="I11" s="24">
        <f>IF(C11=0,"",F11/C11)</f>
        <v/>
      </c>
      <c r="J11" s="23">
        <f>IF(F11+G11=0,"",H11/(F11+G11))</f>
        <v/>
      </c>
    </row>
    <row r="12">
      <c r="A12" s="21">
        <f>A11+7</f>
        <v/>
      </c>
      <c r="B12" s="21">
        <f>A12+6</f>
        <v/>
      </c>
      <c r="C12" s="22">
        <f>COUNTIFS(Visitas!$A$2:$A$401,"&gt;="&amp;A12,Visitas!$A$2:$A$401,"&lt;="&amp;B12)</f>
        <v/>
      </c>
      <c r="D12" s="22">
        <f>COUNTIFS(Prospectos!$A$2:$A$401,"&gt;="&amp;A12,Prospectos!$A$2:$A$401,"&lt;="&amp;B12)</f>
        <v/>
      </c>
      <c r="E12" s="22">
        <f>COUNTIFS(Visitas!$A$2:$A$401,"&gt;="&amp;A12,Visitas!$A$2:$A$401,"&lt;="&amp;B12,Visitas!$F$2:$F$401,"Cotización enviada")</f>
        <v/>
      </c>
      <c r="F12" s="22">
        <f>COUNTIFS(Visitas!$A$2:$A$401,"&gt;="&amp;A12,Visitas!$A$2:$A$401,"&lt;="&amp;B12,Visitas!$F$2:$F$401,"Primer pedido")</f>
        <v/>
      </c>
      <c r="G12" s="22">
        <f>COUNTIFS(Visitas!$A$2:$A$401,"&gt;="&amp;A12,Visitas!$A$2:$A$401,"&lt;="&amp;B12,Visitas!$F$2:$F$401,"Pedido repetido")</f>
        <v/>
      </c>
      <c r="H12" s="23">
        <f>SUMIFS(Visitas!$G$2:$G$401,Visitas!$A$2:$A$401,"&gt;="&amp;A12,Visitas!$A$2:$A$401,"&lt;="&amp;B12)</f>
        <v/>
      </c>
      <c r="I12" s="24">
        <f>IF(C12=0,"",F12/C12)</f>
        <v/>
      </c>
      <c r="J12" s="23">
        <f>IF(F12+G12=0,"",H12/(F12+G12))</f>
        <v/>
      </c>
    </row>
    <row r="13">
      <c r="A13" s="21">
        <f>A12+7</f>
        <v/>
      </c>
      <c r="B13" s="21">
        <f>A13+6</f>
        <v/>
      </c>
      <c r="C13" s="22">
        <f>COUNTIFS(Visitas!$A$2:$A$401,"&gt;="&amp;A13,Visitas!$A$2:$A$401,"&lt;="&amp;B13)</f>
        <v/>
      </c>
      <c r="D13" s="22">
        <f>COUNTIFS(Prospectos!$A$2:$A$401,"&gt;="&amp;A13,Prospectos!$A$2:$A$401,"&lt;="&amp;B13)</f>
        <v/>
      </c>
      <c r="E13" s="22">
        <f>COUNTIFS(Visitas!$A$2:$A$401,"&gt;="&amp;A13,Visitas!$A$2:$A$401,"&lt;="&amp;B13,Visitas!$F$2:$F$401,"Cotización enviada")</f>
        <v/>
      </c>
      <c r="F13" s="22">
        <f>COUNTIFS(Visitas!$A$2:$A$401,"&gt;="&amp;A13,Visitas!$A$2:$A$401,"&lt;="&amp;B13,Visitas!$F$2:$F$401,"Primer pedido")</f>
        <v/>
      </c>
      <c r="G13" s="22">
        <f>COUNTIFS(Visitas!$A$2:$A$401,"&gt;="&amp;A13,Visitas!$A$2:$A$401,"&lt;="&amp;B13,Visitas!$F$2:$F$401,"Pedido repetido")</f>
        <v/>
      </c>
      <c r="H13" s="23">
        <f>SUMIFS(Visitas!$G$2:$G$401,Visitas!$A$2:$A$401,"&gt;="&amp;A13,Visitas!$A$2:$A$401,"&lt;="&amp;B13)</f>
        <v/>
      </c>
      <c r="I13" s="24">
        <f>IF(C13=0,"",F13/C13)</f>
        <v/>
      </c>
      <c r="J13" s="23">
        <f>IF(F13+G13=0,"",H13/(F13+G13))</f>
        <v/>
      </c>
    </row>
    <row r="14">
      <c r="A14" s="21">
        <f>A13+7</f>
        <v/>
      </c>
      <c r="B14" s="21">
        <f>A14+6</f>
        <v/>
      </c>
      <c r="C14" s="22">
        <f>COUNTIFS(Visitas!$A$2:$A$401,"&gt;="&amp;A14,Visitas!$A$2:$A$401,"&lt;="&amp;B14)</f>
        <v/>
      </c>
      <c r="D14" s="22">
        <f>COUNTIFS(Prospectos!$A$2:$A$401,"&gt;="&amp;A14,Prospectos!$A$2:$A$401,"&lt;="&amp;B14)</f>
        <v/>
      </c>
      <c r="E14" s="22">
        <f>COUNTIFS(Visitas!$A$2:$A$401,"&gt;="&amp;A14,Visitas!$A$2:$A$401,"&lt;="&amp;B14,Visitas!$F$2:$F$401,"Cotización enviada")</f>
        <v/>
      </c>
      <c r="F14" s="22">
        <f>COUNTIFS(Visitas!$A$2:$A$401,"&gt;="&amp;A14,Visitas!$A$2:$A$401,"&lt;="&amp;B14,Visitas!$F$2:$F$401,"Primer pedido")</f>
        <v/>
      </c>
      <c r="G14" s="22">
        <f>COUNTIFS(Visitas!$A$2:$A$401,"&gt;="&amp;A14,Visitas!$A$2:$A$401,"&lt;="&amp;B14,Visitas!$F$2:$F$401,"Pedido repetido")</f>
        <v/>
      </c>
      <c r="H14" s="23">
        <f>SUMIFS(Visitas!$G$2:$G$401,Visitas!$A$2:$A$401,"&gt;="&amp;A14,Visitas!$A$2:$A$401,"&lt;="&amp;B14)</f>
        <v/>
      </c>
      <c r="I14" s="24">
        <f>IF(C14=0,"",F14/C14)</f>
        <v/>
      </c>
      <c r="J14" s="23">
        <f>IF(F14+G14=0,"",H14/(F14+G14))</f>
        <v/>
      </c>
    </row>
    <row r="15">
      <c r="A15" s="21">
        <f>A14+7</f>
        <v/>
      </c>
      <c r="B15" s="21">
        <f>A15+6</f>
        <v/>
      </c>
      <c r="C15" s="22">
        <f>COUNTIFS(Visitas!$A$2:$A$401,"&gt;="&amp;A15,Visitas!$A$2:$A$401,"&lt;="&amp;B15)</f>
        <v/>
      </c>
      <c r="D15" s="22">
        <f>COUNTIFS(Prospectos!$A$2:$A$401,"&gt;="&amp;A15,Prospectos!$A$2:$A$401,"&lt;="&amp;B15)</f>
        <v/>
      </c>
      <c r="E15" s="22">
        <f>COUNTIFS(Visitas!$A$2:$A$401,"&gt;="&amp;A15,Visitas!$A$2:$A$401,"&lt;="&amp;B15,Visitas!$F$2:$F$401,"Cotización enviada")</f>
        <v/>
      </c>
      <c r="F15" s="22">
        <f>COUNTIFS(Visitas!$A$2:$A$401,"&gt;="&amp;A15,Visitas!$A$2:$A$401,"&lt;="&amp;B15,Visitas!$F$2:$F$401,"Primer pedido")</f>
        <v/>
      </c>
      <c r="G15" s="22">
        <f>COUNTIFS(Visitas!$A$2:$A$401,"&gt;="&amp;A15,Visitas!$A$2:$A$401,"&lt;="&amp;B15,Visitas!$F$2:$F$401,"Pedido repetido")</f>
        <v/>
      </c>
      <c r="H15" s="23">
        <f>SUMIFS(Visitas!$G$2:$G$401,Visitas!$A$2:$A$401,"&gt;="&amp;A15,Visitas!$A$2:$A$401,"&lt;="&amp;B15)</f>
        <v/>
      </c>
      <c r="I15" s="24">
        <f>IF(C15=0,"",F15/C15)</f>
        <v/>
      </c>
      <c r="J15" s="23">
        <f>IF(F15+G15=0,"",H15/(F15+G15))</f>
        <v/>
      </c>
    </row>
    <row r="16">
      <c r="A16" s="21">
        <f>A15+7</f>
        <v/>
      </c>
      <c r="B16" s="21">
        <f>A16+6</f>
        <v/>
      </c>
      <c r="C16" s="22">
        <f>COUNTIFS(Visitas!$A$2:$A$401,"&gt;="&amp;A16,Visitas!$A$2:$A$401,"&lt;="&amp;B16)</f>
        <v/>
      </c>
      <c r="D16" s="22">
        <f>COUNTIFS(Prospectos!$A$2:$A$401,"&gt;="&amp;A16,Prospectos!$A$2:$A$401,"&lt;="&amp;B16)</f>
        <v/>
      </c>
      <c r="E16" s="22">
        <f>COUNTIFS(Visitas!$A$2:$A$401,"&gt;="&amp;A16,Visitas!$A$2:$A$401,"&lt;="&amp;B16,Visitas!$F$2:$F$401,"Cotización enviada")</f>
        <v/>
      </c>
      <c r="F16" s="22">
        <f>COUNTIFS(Visitas!$A$2:$A$401,"&gt;="&amp;A16,Visitas!$A$2:$A$401,"&lt;="&amp;B16,Visitas!$F$2:$F$401,"Primer pedido")</f>
        <v/>
      </c>
      <c r="G16" s="22">
        <f>COUNTIFS(Visitas!$A$2:$A$401,"&gt;="&amp;A16,Visitas!$A$2:$A$401,"&lt;="&amp;B16,Visitas!$F$2:$F$401,"Pedido repetido")</f>
        <v/>
      </c>
      <c r="H16" s="23">
        <f>SUMIFS(Visitas!$G$2:$G$401,Visitas!$A$2:$A$401,"&gt;="&amp;A16,Visitas!$A$2:$A$401,"&lt;="&amp;B16)</f>
        <v/>
      </c>
      <c r="I16" s="24">
        <f>IF(C16=0,"",F16/C16)</f>
        <v/>
      </c>
      <c r="J16" s="23">
        <f>IF(F16+G16=0,"",H16/(F16+G16))</f>
        <v/>
      </c>
    </row>
    <row r="17">
      <c r="A17" s="21">
        <f>A16+7</f>
        <v/>
      </c>
      <c r="B17" s="21">
        <f>A17+6</f>
        <v/>
      </c>
      <c r="C17" s="22">
        <f>COUNTIFS(Visitas!$A$2:$A$401,"&gt;="&amp;A17,Visitas!$A$2:$A$401,"&lt;="&amp;B17)</f>
        <v/>
      </c>
      <c r="D17" s="22">
        <f>COUNTIFS(Prospectos!$A$2:$A$401,"&gt;="&amp;A17,Prospectos!$A$2:$A$401,"&lt;="&amp;B17)</f>
        <v/>
      </c>
      <c r="E17" s="22">
        <f>COUNTIFS(Visitas!$A$2:$A$401,"&gt;="&amp;A17,Visitas!$A$2:$A$401,"&lt;="&amp;B17,Visitas!$F$2:$F$401,"Cotización enviada")</f>
        <v/>
      </c>
      <c r="F17" s="22">
        <f>COUNTIFS(Visitas!$A$2:$A$401,"&gt;="&amp;A17,Visitas!$A$2:$A$401,"&lt;="&amp;B17,Visitas!$F$2:$F$401,"Primer pedido")</f>
        <v/>
      </c>
      <c r="G17" s="22">
        <f>COUNTIFS(Visitas!$A$2:$A$401,"&gt;="&amp;A17,Visitas!$A$2:$A$401,"&lt;="&amp;B17,Visitas!$F$2:$F$401,"Pedido repetido")</f>
        <v/>
      </c>
      <c r="H17" s="23">
        <f>SUMIFS(Visitas!$G$2:$G$401,Visitas!$A$2:$A$401,"&gt;="&amp;A17,Visitas!$A$2:$A$401,"&lt;="&amp;B17)</f>
        <v/>
      </c>
      <c r="I17" s="24">
        <f>IF(C17=0,"",F17/C17)</f>
        <v/>
      </c>
      <c r="J17" s="23">
        <f>IF(F17+G17=0,"",H17/(F17+G17))</f>
        <v/>
      </c>
    </row>
    <row r="18">
      <c r="A18" s="21">
        <f>A17+7</f>
        <v/>
      </c>
      <c r="B18" s="21">
        <f>A18+6</f>
        <v/>
      </c>
      <c r="C18" s="22">
        <f>COUNTIFS(Visitas!$A$2:$A$401,"&gt;="&amp;A18,Visitas!$A$2:$A$401,"&lt;="&amp;B18)</f>
        <v/>
      </c>
      <c r="D18" s="22">
        <f>COUNTIFS(Prospectos!$A$2:$A$401,"&gt;="&amp;A18,Prospectos!$A$2:$A$401,"&lt;="&amp;B18)</f>
        <v/>
      </c>
      <c r="E18" s="22">
        <f>COUNTIFS(Visitas!$A$2:$A$401,"&gt;="&amp;A18,Visitas!$A$2:$A$401,"&lt;="&amp;B18,Visitas!$F$2:$F$401,"Cotización enviada")</f>
        <v/>
      </c>
      <c r="F18" s="22">
        <f>COUNTIFS(Visitas!$A$2:$A$401,"&gt;="&amp;A18,Visitas!$A$2:$A$401,"&lt;="&amp;B18,Visitas!$F$2:$F$401,"Primer pedido")</f>
        <v/>
      </c>
      <c r="G18" s="22">
        <f>COUNTIFS(Visitas!$A$2:$A$401,"&gt;="&amp;A18,Visitas!$A$2:$A$401,"&lt;="&amp;B18,Visitas!$F$2:$F$401,"Pedido repetido")</f>
        <v/>
      </c>
      <c r="H18" s="23">
        <f>SUMIFS(Visitas!$G$2:$G$401,Visitas!$A$2:$A$401,"&gt;="&amp;A18,Visitas!$A$2:$A$401,"&lt;="&amp;B18)</f>
        <v/>
      </c>
      <c r="I18" s="24">
        <f>IF(C18=0,"",F18/C18)</f>
        <v/>
      </c>
      <c r="J18" s="23">
        <f>IF(F18+G18=0,"",H18/(F18+G18))</f>
        <v/>
      </c>
    </row>
    <row r="19">
      <c r="A19" s="21">
        <f>A18+7</f>
        <v/>
      </c>
      <c r="B19" s="21">
        <f>A19+6</f>
        <v/>
      </c>
      <c r="C19" s="22">
        <f>COUNTIFS(Visitas!$A$2:$A$401,"&gt;="&amp;A19,Visitas!$A$2:$A$401,"&lt;="&amp;B19)</f>
        <v/>
      </c>
      <c r="D19" s="22">
        <f>COUNTIFS(Prospectos!$A$2:$A$401,"&gt;="&amp;A19,Prospectos!$A$2:$A$401,"&lt;="&amp;B19)</f>
        <v/>
      </c>
      <c r="E19" s="22">
        <f>COUNTIFS(Visitas!$A$2:$A$401,"&gt;="&amp;A19,Visitas!$A$2:$A$401,"&lt;="&amp;B19,Visitas!$F$2:$F$401,"Cotización enviada")</f>
        <v/>
      </c>
      <c r="F19" s="22">
        <f>COUNTIFS(Visitas!$A$2:$A$401,"&gt;="&amp;A19,Visitas!$A$2:$A$401,"&lt;="&amp;B19,Visitas!$F$2:$F$401,"Primer pedido")</f>
        <v/>
      </c>
      <c r="G19" s="22">
        <f>COUNTIFS(Visitas!$A$2:$A$401,"&gt;="&amp;A19,Visitas!$A$2:$A$401,"&lt;="&amp;B19,Visitas!$F$2:$F$401,"Pedido repetido")</f>
        <v/>
      </c>
      <c r="H19" s="23">
        <f>SUMIFS(Visitas!$G$2:$G$401,Visitas!$A$2:$A$401,"&gt;="&amp;A19,Visitas!$A$2:$A$401,"&lt;="&amp;B19)</f>
        <v/>
      </c>
      <c r="I19" s="24">
        <f>IF(C19=0,"",F19/C19)</f>
        <v/>
      </c>
      <c r="J19" s="23">
        <f>IF(F19+G19=0,"",H19/(F19+G19))</f>
        <v/>
      </c>
    </row>
    <row r="20">
      <c r="A20" s="21">
        <f>A19+7</f>
        <v/>
      </c>
      <c r="B20" s="21">
        <f>A20+6</f>
        <v/>
      </c>
      <c r="C20" s="22">
        <f>COUNTIFS(Visitas!$A$2:$A$401,"&gt;="&amp;A20,Visitas!$A$2:$A$401,"&lt;="&amp;B20)</f>
        <v/>
      </c>
      <c r="D20" s="22">
        <f>COUNTIFS(Prospectos!$A$2:$A$401,"&gt;="&amp;A20,Prospectos!$A$2:$A$401,"&lt;="&amp;B20)</f>
        <v/>
      </c>
      <c r="E20" s="22">
        <f>COUNTIFS(Visitas!$A$2:$A$401,"&gt;="&amp;A20,Visitas!$A$2:$A$401,"&lt;="&amp;B20,Visitas!$F$2:$F$401,"Cotización enviada")</f>
        <v/>
      </c>
      <c r="F20" s="22">
        <f>COUNTIFS(Visitas!$A$2:$A$401,"&gt;="&amp;A20,Visitas!$A$2:$A$401,"&lt;="&amp;B20,Visitas!$F$2:$F$401,"Primer pedido")</f>
        <v/>
      </c>
      <c r="G20" s="22">
        <f>COUNTIFS(Visitas!$A$2:$A$401,"&gt;="&amp;A20,Visitas!$A$2:$A$401,"&lt;="&amp;B20,Visitas!$F$2:$F$401,"Pedido repetido")</f>
        <v/>
      </c>
      <c r="H20" s="23">
        <f>SUMIFS(Visitas!$G$2:$G$401,Visitas!$A$2:$A$401,"&gt;="&amp;A20,Visitas!$A$2:$A$401,"&lt;="&amp;B20)</f>
        <v/>
      </c>
      <c r="I20" s="24">
        <f>IF(C20=0,"",F20/C20)</f>
        <v/>
      </c>
      <c r="J20" s="23">
        <f>IF(F20+G20=0,"",H20/(F20+G20))</f>
        <v/>
      </c>
    </row>
    <row r="21">
      <c r="A21" s="21">
        <f>A20+7</f>
        <v/>
      </c>
      <c r="B21" s="21">
        <f>A21+6</f>
        <v/>
      </c>
      <c r="C21" s="22">
        <f>COUNTIFS(Visitas!$A$2:$A$401,"&gt;="&amp;A21,Visitas!$A$2:$A$401,"&lt;="&amp;B21)</f>
        <v/>
      </c>
      <c r="D21" s="22">
        <f>COUNTIFS(Prospectos!$A$2:$A$401,"&gt;="&amp;A21,Prospectos!$A$2:$A$401,"&lt;="&amp;B21)</f>
        <v/>
      </c>
      <c r="E21" s="22">
        <f>COUNTIFS(Visitas!$A$2:$A$401,"&gt;="&amp;A21,Visitas!$A$2:$A$401,"&lt;="&amp;B21,Visitas!$F$2:$F$401,"Cotización enviada")</f>
        <v/>
      </c>
      <c r="F21" s="22">
        <f>COUNTIFS(Visitas!$A$2:$A$401,"&gt;="&amp;A21,Visitas!$A$2:$A$401,"&lt;="&amp;B21,Visitas!$F$2:$F$401,"Primer pedido")</f>
        <v/>
      </c>
      <c r="G21" s="22">
        <f>COUNTIFS(Visitas!$A$2:$A$401,"&gt;="&amp;A21,Visitas!$A$2:$A$401,"&lt;="&amp;B21,Visitas!$F$2:$F$401,"Pedido repetido")</f>
        <v/>
      </c>
      <c r="H21" s="23">
        <f>SUMIFS(Visitas!$G$2:$G$401,Visitas!$A$2:$A$401,"&gt;="&amp;A21,Visitas!$A$2:$A$401,"&lt;="&amp;B21)</f>
        <v/>
      </c>
      <c r="I21" s="24">
        <f>IF(C21=0,"",F21/C21)</f>
        <v/>
      </c>
      <c r="J21" s="23">
        <f>IF(F21+G21=0,"",H21/(F21+G21))</f>
        <v/>
      </c>
    </row>
    <row r="22">
      <c r="A22" s="21">
        <f>A21+7</f>
        <v/>
      </c>
      <c r="B22" s="21">
        <f>A22+6</f>
        <v/>
      </c>
      <c r="C22" s="22">
        <f>COUNTIFS(Visitas!$A$2:$A$401,"&gt;="&amp;A22,Visitas!$A$2:$A$401,"&lt;="&amp;B22)</f>
        <v/>
      </c>
      <c r="D22" s="22">
        <f>COUNTIFS(Prospectos!$A$2:$A$401,"&gt;="&amp;A22,Prospectos!$A$2:$A$401,"&lt;="&amp;B22)</f>
        <v/>
      </c>
      <c r="E22" s="22">
        <f>COUNTIFS(Visitas!$A$2:$A$401,"&gt;="&amp;A22,Visitas!$A$2:$A$401,"&lt;="&amp;B22,Visitas!$F$2:$F$401,"Cotización enviada")</f>
        <v/>
      </c>
      <c r="F22" s="22">
        <f>COUNTIFS(Visitas!$A$2:$A$401,"&gt;="&amp;A22,Visitas!$A$2:$A$401,"&lt;="&amp;B22,Visitas!$F$2:$F$401,"Primer pedido")</f>
        <v/>
      </c>
      <c r="G22" s="22">
        <f>COUNTIFS(Visitas!$A$2:$A$401,"&gt;="&amp;A22,Visitas!$A$2:$A$401,"&lt;="&amp;B22,Visitas!$F$2:$F$401,"Pedido repetido")</f>
        <v/>
      </c>
      <c r="H22" s="23">
        <f>SUMIFS(Visitas!$G$2:$G$401,Visitas!$A$2:$A$401,"&gt;="&amp;A22,Visitas!$A$2:$A$401,"&lt;="&amp;B22)</f>
        <v/>
      </c>
      <c r="I22" s="24">
        <f>IF(C22=0,"",F22/C22)</f>
        <v/>
      </c>
      <c r="J22" s="23">
        <f>IF(F22+G22=0,"",H22/(F22+G22))</f>
        <v/>
      </c>
    </row>
    <row r="23">
      <c r="A23" s="21">
        <f>A22+7</f>
        <v/>
      </c>
      <c r="B23" s="21">
        <f>A23+6</f>
        <v/>
      </c>
      <c r="C23" s="22">
        <f>COUNTIFS(Visitas!$A$2:$A$401,"&gt;="&amp;A23,Visitas!$A$2:$A$401,"&lt;="&amp;B23)</f>
        <v/>
      </c>
      <c r="D23" s="22">
        <f>COUNTIFS(Prospectos!$A$2:$A$401,"&gt;="&amp;A23,Prospectos!$A$2:$A$401,"&lt;="&amp;B23)</f>
        <v/>
      </c>
      <c r="E23" s="22">
        <f>COUNTIFS(Visitas!$A$2:$A$401,"&gt;="&amp;A23,Visitas!$A$2:$A$401,"&lt;="&amp;B23,Visitas!$F$2:$F$401,"Cotización enviada")</f>
        <v/>
      </c>
      <c r="F23" s="22">
        <f>COUNTIFS(Visitas!$A$2:$A$401,"&gt;="&amp;A23,Visitas!$A$2:$A$401,"&lt;="&amp;B23,Visitas!$F$2:$F$401,"Primer pedido")</f>
        <v/>
      </c>
      <c r="G23" s="22">
        <f>COUNTIFS(Visitas!$A$2:$A$401,"&gt;="&amp;A23,Visitas!$A$2:$A$401,"&lt;="&amp;B23,Visitas!$F$2:$F$401,"Pedido repetido")</f>
        <v/>
      </c>
      <c r="H23" s="23">
        <f>SUMIFS(Visitas!$G$2:$G$401,Visitas!$A$2:$A$401,"&gt;="&amp;A23,Visitas!$A$2:$A$401,"&lt;="&amp;B23)</f>
        <v/>
      </c>
      <c r="I23" s="24">
        <f>IF(C23=0,"",F23/C23)</f>
        <v/>
      </c>
      <c r="J23" s="23">
        <f>IF(F23+G23=0,"",H23/(F23+G23))</f>
        <v/>
      </c>
    </row>
    <row r="24">
      <c r="A24" s="21">
        <f>A23+7</f>
        <v/>
      </c>
      <c r="B24" s="21">
        <f>A24+6</f>
        <v/>
      </c>
      <c r="C24" s="22">
        <f>COUNTIFS(Visitas!$A$2:$A$401,"&gt;="&amp;A24,Visitas!$A$2:$A$401,"&lt;="&amp;B24)</f>
        <v/>
      </c>
      <c r="D24" s="22">
        <f>COUNTIFS(Prospectos!$A$2:$A$401,"&gt;="&amp;A24,Prospectos!$A$2:$A$401,"&lt;="&amp;B24)</f>
        <v/>
      </c>
      <c r="E24" s="22">
        <f>COUNTIFS(Visitas!$A$2:$A$401,"&gt;="&amp;A24,Visitas!$A$2:$A$401,"&lt;="&amp;B24,Visitas!$F$2:$F$401,"Cotización enviada")</f>
        <v/>
      </c>
      <c r="F24" s="22">
        <f>COUNTIFS(Visitas!$A$2:$A$401,"&gt;="&amp;A24,Visitas!$A$2:$A$401,"&lt;="&amp;B24,Visitas!$F$2:$F$401,"Primer pedido")</f>
        <v/>
      </c>
      <c r="G24" s="22">
        <f>COUNTIFS(Visitas!$A$2:$A$401,"&gt;="&amp;A24,Visitas!$A$2:$A$401,"&lt;="&amp;B24,Visitas!$F$2:$F$401,"Pedido repetido")</f>
        <v/>
      </c>
      <c r="H24" s="23">
        <f>SUMIFS(Visitas!$G$2:$G$401,Visitas!$A$2:$A$401,"&gt;="&amp;A24,Visitas!$A$2:$A$401,"&lt;="&amp;B24)</f>
        <v/>
      </c>
      <c r="I24" s="24">
        <f>IF(C24=0,"",F24/C24)</f>
        <v/>
      </c>
      <c r="J24" s="23">
        <f>IF(F24+G24=0,"",H24/(F24+G24))</f>
        <v/>
      </c>
    </row>
    <row r="25">
      <c r="A25" s="21">
        <f>A24+7</f>
        <v/>
      </c>
      <c r="B25" s="21">
        <f>A25+6</f>
        <v/>
      </c>
      <c r="C25" s="22">
        <f>COUNTIFS(Visitas!$A$2:$A$401,"&gt;="&amp;A25,Visitas!$A$2:$A$401,"&lt;="&amp;B25)</f>
        <v/>
      </c>
      <c r="D25" s="22">
        <f>COUNTIFS(Prospectos!$A$2:$A$401,"&gt;="&amp;A25,Prospectos!$A$2:$A$401,"&lt;="&amp;B25)</f>
        <v/>
      </c>
      <c r="E25" s="22">
        <f>COUNTIFS(Visitas!$A$2:$A$401,"&gt;="&amp;A25,Visitas!$A$2:$A$401,"&lt;="&amp;B25,Visitas!$F$2:$F$401,"Cotización enviada")</f>
        <v/>
      </c>
      <c r="F25" s="22">
        <f>COUNTIFS(Visitas!$A$2:$A$401,"&gt;="&amp;A25,Visitas!$A$2:$A$401,"&lt;="&amp;B25,Visitas!$F$2:$F$401,"Primer pedido")</f>
        <v/>
      </c>
      <c r="G25" s="22">
        <f>COUNTIFS(Visitas!$A$2:$A$401,"&gt;="&amp;A25,Visitas!$A$2:$A$401,"&lt;="&amp;B25,Visitas!$F$2:$F$401,"Pedido repetido")</f>
        <v/>
      </c>
      <c r="H25" s="23">
        <f>SUMIFS(Visitas!$G$2:$G$401,Visitas!$A$2:$A$401,"&gt;="&amp;A25,Visitas!$A$2:$A$401,"&lt;="&amp;B25)</f>
        <v/>
      </c>
      <c r="I25" s="24">
        <f>IF(C25=0,"",F25/C25)</f>
        <v/>
      </c>
      <c r="J25" s="23">
        <f>IF(F25+G25=0,"",H25/(F25+G25))</f>
        <v/>
      </c>
    </row>
    <row r="26">
      <c r="A26" s="21">
        <f>A25+7</f>
        <v/>
      </c>
      <c r="B26" s="21">
        <f>A26+6</f>
        <v/>
      </c>
      <c r="C26" s="22">
        <f>COUNTIFS(Visitas!$A$2:$A$401,"&gt;="&amp;A26,Visitas!$A$2:$A$401,"&lt;="&amp;B26)</f>
        <v/>
      </c>
      <c r="D26" s="22">
        <f>COUNTIFS(Prospectos!$A$2:$A$401,"&gt;="&amp;A26,Prospectos!$A$2:$A$401,"&lt;="&amp;B26)</f>
        <v/>
      </c>
      <c r="E26" s="22">
        <f>COUNTIFS(Visitas!$A$2:$A$401,"&gt;="&amp;A26,Visitas!$A$2:$A$401,"&lt;="&amp;B26,Visitas!$F$2:$F$401,"Cotización enviada")</f>
        <v/>
      </c>
      <c r="F26" s="22">
        <f>COUNTIFS(Visitas!$A$2:$A$401,"&gt;="&amp;A26,Visitas!$A$2:$A$401,"&lt;="&amp;B26,Visitas!$F$2:$F$401,"Primer pedido")</f>
        <v/>
      </c>
      <c r="G26" s="22">
        <f>COUNTIFS(Visitas!$A$2:$A$401,"&gt;="&amp;A26,Visitas!$A$2:$A$401,"&lt;="&amp;B26,Visitas!$F$2:$F$401,"Pedido repetido")</f>
        <v/>
      </c>
      <c r="H26" s="23">
        <f>SUMIFS(Visitas!$G$2:$G$401,Visitas!$A$2:$A$401,"&gt;="&amp;A26,Visitas!$A$2:$A$401,"&lt;="&amp;B26)</f>
        <v/>
      </c>
      <c r="I26" s="24">
        <f>IF(C26=0,"",F26/C26)</f>
        <v/>
      </c>
      <c r="J26" s="23">
        <f>IF(F26+G26=0,"",H26/(F26+G26))</f>
        <v/>
      </c>
    </row>
    <row r="27">
      <c r="A27" s="21">
        <f>A26+7</f>
        <v/>
      </c>
      <c r="B27" s="21">
        <f>A27+6</f>
        <v/>
      </c>
      <c r="C27" s="22">
        <f>COUNTIFS(Visitas!$A$2:$A$401,"&gt;="&amp;A27,Visitas!$A$2:$A$401,"&lt;="&amp;B27)</f>
        <v/>
      </c>
      <c r="D27" s="22">
        <f>COUNTIFS(Prospectos!$A$2:$A$401,"&gt;="&amp;A27,Prospectos!$A$2:$A$401,"&lt;="&amp;B27)</f>
        <v/>
      </c>
      <c r="E27" s="22">
        <f>COUNTIFS(Visitas!$A$2:$A$401,"&gt;="&amp;A27,Visitas!$A$2:$A$401,"&lt;="&amp;B27,Visitas!$F$2:$F$401,"Cotización enviada")</f>
        <v/>
      </c>
      <c r="F27" s="22">
        <f>COUNTIFS(Visitas!$A$2:$A$401,"&gt;="&amp;A27,Visitas!$A$2:$A$401,"&lt;="&amp;B27,Visitas!$F$2:$F$401,"Primer pedido")</f>
        <v/>
      </c>
      <c r="G27" s="22">
        <f>COUNTIFS(Visitas!$A$2:$A$401,"&gt;="&amp;A27,Visitas!$A$2:$A$401,"&lt;="&amp;B27,Visitas!$F$2:$F$401,"Pedido repetido")</f>
        <v/>
      </c>
      <c r="H27" s="23">
        <f>SUMIFS(Visitas!$G$2:$G$401,Visitas!$A$2:$A$401,"&gt;="&amp;A27,Visitas!$A$2:$A$401,"&lt;="&amp;B27)</f>
        <v/>
      </c>
      <c r="I27" s="24">
        <f>IF(C27=0,"",F27/C27)</f>
        <v/>
      </c>
      <c r="J27" s="23">
        <f>IF(F27+G27=0,"",H27/(F27+G27))</f>
        <v/>
      </c>
    </row>
    <row r="28">
      <c r="A28" s="21">
        <f>A27+7</f>
        <v/>
      </c>
      <c r="B28" s="21">
        <f>A28+6</f>
        <v/>
      </c>
      <c r="C28" s="22">
        <f>COUNTIFS(Visitas!$A$2:$A$401,"&gt;="&amp;A28,Visitas!$A$2:$A$401,"&lt;="&amp;B28)</f>
        <v/>
      </c>
      <c r="D28" s="22">
        <f>COUNTIFS(Prospectos!$A$2:$A$401,"&gt;="&amp;A28,Prospectos!$A$2:$A$401,"&lt;="&amp;B28)</f>
        <v/>
      </c>
      <c r="E28" s="22">
        <f>COUNTIFS(Visitas!$A$2:$A$401,"&gt;="&amp;A28,Visitas!$A$2:$A$401,"&lt;="&amp;B28,Visitas!$F$2:$F$401,"Cotización enviada")</f>
        <v/>
      </c>
      <c r="F28" s="22">
        <f>COUNTIFS(Visitas!$A$2:$A$401,"&gt;="&amp;A28,Visitas!$A$2:$A$401,"&lt;="&amp;B28,Visitas!$F$2:$F$401,"Primer pedido")</f>
        <v/>
      </c>
      <c r="G28" s="22">
        <f>COUNTIFS(Visitas!$A$2:$A$401,"&gt;="&amp;A28,Visitas!$A$2:$A$401,"&lt;="&amp;B28,Visitas!$F$2:$F$401,"Pedido repetido")</f>
        <v/>
      </c>
      <c r="H28" s="23">
        <f>SUMIFS(Visitas!$G$2:$G$401,Visitas!$A$2:$A$401,"&gt;="&amp;A28,Visitas!$A$2:$A$401,"&lt;="&amp;B28)</f>
        <v/>
      </c>
      <c r="I28" s="24">
        <f>IF(C28=0,"",F28/C28)</f>
        <v/>
      </c>
      <c r="J28" s="23">
        <f>IF(F28+G28=0,"",H28/(F28+G28))</f>
        <v/>
      </c>
    </row>
    <row r="29">
      <c r="A29" s="21">
        <f>A28+7</f>
        <v/>
      </c>
      <c r="B29" s="21">
        <f>A29+6</f>
        <v/>
      </c>
      <c r="C29" s="22">
        <f>COUNTIFS(Visitas!$A$2:$A$401,"&gt;="&amp;A29,Visitas!$A$2:$A$401,"&lt;="&amp;B29)</f>
        <v/>
      </c>
      <c r="D29" s="22">
        <f>COUNTIFS(Prospectos!$A$2:$A$401,"&gt;="&amp;A29,Prospectos!$A$2:$A$401,"&lt;="&amp;B29)</f>
        <v/>
      </c>
      <c r="E29" s="22">
        <f>COUNTIFS(Visitas!$A$2:$A$401,"&gt;="&amp;A29,Visitas!$A$2:$A$401,"&lt;="&amp;B29,Visitas!$F$2:$F$401,"Cotización enviada")</f>
        <v/>
      </c>
      <c r="F29" s="22">
        <f>COUNTIFS(Visitas!$A$2:$A$401,"&gt;="&amp;A29,Visitas!$A$2:$A$401,"&lt;="&amp;B29,Visitas!$F$2:$F$401,"Primer pedido")</f>
        <v/>
      </c>
      <c r="G29" s="22">
        <f>COUNTIFS(Visitas!$A$2:$A$401,"&gt;="&amp;A29,Visitas!$A$2:$A$401,"&lt;="&amp;B29,Visitas!$F$2:$F$401,"Pedido repetido")</f>
        <v/>
      </c>
      <c r="H29" s="23">
        <f>SUMIFS(Visitas!$G$2:$G$401,Visitas!$A$2:$A$401,"&gt;="&amp;A29,Visitas!$A$2:$A$401,"&lt;="&amp;B29)</f>
        <v/>
      </c>
      <c r="I29" s="24">
        <f>IF(C29=0,"",F29/C29)</f>
        <v/>
      </c>
      <c r="J29" s="23">
        <f>IF(F29+G29=0,"",H29/(F29+G29))</f>
        <v/>
      </c>
    </row>
    <row r="30">
      <c r="A30" s="21">
        <f>A29+7</f>
        <v/>
      </c>
      <c r="B30" s="21">
        <f>A30+6</f>
        <v/>
      </c>
      <c r="C30" s="22">
        <f>COUNTIFS(Visitas!$A$2:$A$401,"&gt;="&amp;A30,Visitas!$A$2:$A$401,"&lt;="&amp;B30)</f>
        <v/>
      </c>
      <c r="D30" s="22">
        <f>COUNTIFS(Prospectos!$A$2:$A$401,"&gt;="&amp;A30,Prospectos!$A$2:$A$401,"&lt;="&amp;B30)</f>
        <v/>
      </c>
      <c r="E30" s="22">
        <f>COUNTIFS(Visitas!$A$2:$A$401,"&gt;="&amp;A30,Visitas!$A$2:$A$401,"&lt;="&amp;B30,Visitas!$F$2:$F$401,"Cotización enviada")</f>
        <v/>
      </c>
      <c r="F30" s="22">
        <f>COUNTIFS(Visitas!$A$2:$A$401,"&gt;="&amp;A30,Visitas!$A$2:$A$401,"&lt;="&amp;B30,Visitas!$F$2:$F$401,"Primer pedido")</f>
        <v/>
      </c>
      <c r="G30" s="22">
        <f>COUNTIFS(Visitas!$A$2:$A$401,"&gt;="&amp;A30,Visitas!$A$2:$A$401,"&lt;="&amp;B30,Visitas!$F$2:$F$401,"Pedido repetido")</f>
        <v/>
      </c>
      <c r="H30" s="23">
        <f>SUMIFS(Visitas!$G$2:$G$401,Visitas!$A$2:$A$401,"&gt;="&amp;A30,Visitas!$A$2:$A$401,"&lt;="&amp;B30)</f>
        <v/>
      </c>
      <c r="I30" s="24">
        <f>IF(C30=0,"",F30/C30)</f>
        <v/>
      </c>
      <c r="J30" s="23">
        <f>IF(F30+G30=0,"",H30/(F30+G30))</f>
        <v/>
      </c>
    </row>
    <row r="31">
      <c r="A31" s="25" t="inlineStr">
        <is>
          <t>Total</t>
        </is>
      </c>
      <c r="B31" s="25" t="n"/>
      <c r="C31" s="25">
        <f>SUM(C5:C30)</f>
        <v/>
      </c>
      <c r="D31" s="25">
        <f>SUM(D5:D30)</f>
        <v/>
      </c>
      <c r="E31" s="25">
        <f>SUM(E5:E30)</f>
        <v/>
      </c>
      <c r="F31" s="25">
        <f>SUM(F5:F30)</f>
        <v/>
      </c>
      <c r="G31" s="25">
        <f>SUM(G5:G30)</f>
        <v/>
      </c>
      <c r="H31" s="26">
        <f>SUM(H5:H30)</f>
        <v/>
      </c>
      <c r="I31" s="27">
        <f>IF(C31=0,"",F31/C31)</f>
        <v/>
      </c>
      <c r="J31" s="26">
        <f>IF(F31+G31=0,"",H31/(F31+G31))</f>
        <v/>
      </c>
    </row>
    <row r="33">
      <c r="A33" s="28" t="inlineStr">
        <is>
          <t>Cartera</t>
        </is>
      </c>
    </row>
    <row r="34">
      <c r="A34" s="29" t="inlineStr">
        <is>
          <t>Clientes activos</t>
        </is>
      </c>
      <c r="C34" s="30">
        <f>COUNTIF(Prospectos!$J$2:$J$401,"Cliente")+COUNTIF(Prospectos!$J$2:$J$401,"Recurrente")</f>
        <v/>
      </c>
    </row>
    <row r="35">
      <c r="A35" s="29" t="inlineStr">
        <is>
          <t>Recurrentes</t>
        </is>
      </c>
      <c r="C35" s="30">
        <f>COUNTIF(Prospectos!$J$2:$J$401,"Recurrente")</f>
        <v/>
      </c>
    </row>
    <row r="36">
      <c r="A36" s="29" t="inlineStr">
        <is>
          <t>Para contactar hoy</t>
        </is>
      </c>
      <c r="C36" s="30">
        <f>COUNTIF(Prospectos!$O$2:$O$401,"Contactar")</f>
        <v/>
      </c>
    </row>
    <row r="37">
      <c r="A37" s="29" t="inlineStr">
        <is>
          <t>Administraciones con carpeta</t>
        </is>
      </c>
      <c r="C37" s="30">
        <f>COUNT(Administraciones!$H$2:$H$401)</f>
        <v/>
      </c>
    </row>
    <row r="38">
      <c r="A38" s="29" t="inlineStr">
        <is>
          <t>Edificios alcanzados</t>
        </is>
      </c>
      <c r="C38" s="30">
        <f>SUMIFS(Administraciones!$E$2:$E$401,Administraciones!$I$2:$I$401,"Cliente")+SUMIFS(Administraciones!$E$2:$E$401,Administraciones!$I$2:$I$401,"Recurrente")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3" t="inlineStr">
        <is>
          <t>Rubros</t>
        </is>
      </c>
      <c r="B1" s="3" t="inlineStr">
        <is>
          <t>Zonas</t>
        </is>
      </c>
      <c r="C1" s="3" t="inlineStr">
        <is>
          <t>Origen</t>
        </is>
      </c>
      <c r="D1" s="3" t="inlineStr">
        <is>
          <t>Dejado</t>
        </is>
      </c>
      <c r="E1" s="3" t="inlineStr">
        <is>
          <t>Estados</t>
        </is>
      </c>
      <c r="F1" s="3" t="inlineStr">
        <is>
          <t>Tipo</t>
        </is>
      </c>
      <c r="G1" s="3" t="inlineStr">
        <is>
          <t>Resultados</t>
        </is>
      </c>
    </row>
    <row r="2">
      <c r="A2" s="29" t="inlineStr">
        <is>
          <t>Gastronomía</t>
        </is>
      </c>
      <c r="B2" s="29" t="inlineStr">
        <is>
          <t>CABA</t>
        </is>
      </c>
      <c r="C2" s="29" t="inlineStr">
        <is>
          <t>Visita en la calle</t>
        </is>
      </c>
      <c r="D2" s="29" t="inlineStr">
        <is>
          <t>Nada</t>
        </is>
      </c>
      <c r="E2" s="29" t="inlineStr">
        <is>
          <t>Nuevo</t>
        </is>
      </c>
      <c r="F2" s="29" t="inlineStr">
        <is>
          <t>Visita</t>
        </is>
      </c>
      <c r="G2" s="29" t="inlineStr">
        <is>
          <t>Sin respuesta</t>
        </is>
      </c>
    </row>
    <row r="3">
      <c r="A3" s="29" t="inlineStr">
        <is>
          <t>Administración de consorcios</t>
        </is>
      </c>
      <c r="B3" s="29" t="inlineStr">
        <is>
          <t>GBA Norte</t>
        </is>
      </c>
      <c r="C3" s="29" t="inlineStr">
        <is>
          <t>Recomendación</t>
        </is>
      </c>
      <c r="D3" s="29" t="inlineStr">
        <is>
          <t>Ficha A5</t>
        </is>
      </c>
      <c r="E3" s="29" t="inlineStr">
        <is>
          <t>Contactado</t>
        </is>
      </c>
      <c r="F3" s="29" t="inlineStr">
        <is>
          <t>WhatsApp</t>
        </is>
      </c>
      <c r="G3" s="29" t="inlineStr">
        <is>
          <t>Sin interés</t>
        </is>
      </c>
    </row>
    <row r="4">
      <c r="A4" s="29" t="inlineStr">
        <is>
          <t>Edificio / encargado</t>
        </is>
      </c>
      <c r="B4" s="29" t="inlineStr">
        <is>
          <t>GBA Oeste</t>
        </is>
      </c>
      <c r="C4" s="29" t="inlineStr">
        <is>
          <t>Google</t>
        </is>
      </c>
      <c r="D4" s="29" t="inlineStr">
        <is>
          <t>Imán</t>
        </is>
      </c>
      <c r="E4" s="29" t="inlineStr">
        <is>
          <t>Visitado</t>
        </is>
      </c>
      <c r="F4" s="29" t="inlineStr">
        <is>
          <t>Llamada</t>
        </is>
      </c>
      <c r="G4" s="29" t="inlineStr">
        <is>
          <t>Volver a pasar</t>
        </is>
      </c>
    </row>
    <row r="5">
      <c r="A5" s="29" t="inlineStr">
        <is>
          <t>Empresa de limpieza</t>
        </is>
      </c>
      <c r="B5" s="29" t="inlineStr">
        <is>
          <t>GBA Sur</t>
        </is>
      </c>
      <c r="C5" s="29" t="inlineStr">
        <is>
          <t>Instagram</t>
        </is>
      </c>
      <c r="D5" s="29" t="inlineStr">
        <is>
          <t>Muestra</t>
        </is>
      </c>
      <c r="E5" s="29" t="inlineStr">
        <is>
          <t>Cotizado</t>
        </is>
      </c>
      <c r="F5" s="29" t="inlineStr">
        <is>
          <t>Mail</t>
        </is>
      </c>
      <c r="G5" s="29" t="inlineStr">
        <is>
          <t>Cotización enviada</t>
        </is>
      </c>
    </row>
    <row r="6">
      <c r="A6" s="29" t="inlineStr">
        <is>
          <t>Oficina o consultorio</t>
        </is>
      </c>
      <c r="B6" s="29" t="inlineStr">
        <is>
          <t>Otra</t>
        </is>
      </c>
      <c r="C6" s="29" t="inlineStr">
        <is>
          <t>WhatsApp</t>
        </is>
      </c>
      <c r="D6" s="29" t="inlineStr">
        <is>
          <t>Muestra + imán</t>
        </is>
      </c>
      <c r="E6" s="29" t="inlineStr">
        <is>
          <t>Cliente</t>
        </is>
      </c>
      <c r="G6" s="29" t="inlineStr">
        <is>
          <t>Primer pedido</t>
        </is>
      </c>
    </row>
    <row r="7">
      <c r="A7" s="29" t="inlineStr">
        <is>
          <t>Gimnasio, peluquería o estética</t>
        </is>
      </c>
      <c r="C7" s="29" t="inlineStr">
        <is>
          <t>Mercado Libre</t>
        </is>
      </c>
      <c r="D7" s="29" t="inlineStr">
        <is>
          <t>Carpeta</t>
        </is>
      </c>
      <c r="E7" s="29" t="inlineStr">
        <is>
          <t>Recurrente</t>
        </is>
      </c>
      <c r="G7" s="29" t="inlineStr">
        <is>
          <t>Pedido repetido</t>
        </is>
      </c>
    </row>
    <row r="8">
      <c r="A8" s="29" t="inlineStr">
        <is>
          <t>Almacén, autoservicio o kiosco</t>
        </is>
      </c>
      <c r="C8" s="29" t="inlineStr">
        <is>
          <t>QR imán</t>
        </is>
      </c>
      <c r="D8" s="29" t="inlineStr">
        <is>
          <t>Tarjeta</t>
        </is>
      </c>
      <c r="E8" s="29" t="inlineStr">
        <is>
          <t>Sin interés</t>
        </is>
      </c>
    </row>
    <row r="9">
      <c r="A9" s="29" t="inlineStr">
        <is>
          <t>Colegio, jardín o club</t>
        </is>
      </c>
      <c r="C9" s="29" t="inlineStr">
        <is>
          <t>QR sticker</t>
        </is>
      </c>
      <c r="D9" s="29" t="inlineStr">
        <is>
          <t>Sticker</t>
        </is>
      </c>
    </row>
    <row r="10">
      <c r="A10" s="29" t="inlineStr">
        <is>
          <t>Otro</t>
        </is>
      </c>
      <c r="C10" s="29" t="inlineStr">
        <is>
          <t>QR ficha</t>
        </is>
      </c>
    </row>
    <row r="11">
      <c r="C11" s="29" t="inlineStr">
        <is>
          <t>QR carpeta</t>
        </is>
      </c>
    </row>
    <row r="12">
      <c r="C12" s="29" t="inlineStr">
        <is>
          <t>QR camioneta</t>
        </is>
      </c>
    </row>
    <row r="13">
      <c r="C13" s="29" t="inlineStr">
        <is>
          <t>Otro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2026-10-12T13:59:31Z</dcterms:created>
  <dcterms:modified xsi:type="dcterms:W3CDTF">2026-10-12T13:59:32Z</dcterms:modified>
</cp:coreProperties>
</file>